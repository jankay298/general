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Stammdaten" sheetId="2" state="visible" r:id="rId4"/>
    <sheet name="Leistungskatalog" sheetId="3" state="visible" r:id="rId5"/>
    <sheet name="Kalkulation" sheetId="4" state="visible" r:id="rId6"/>
    <sheet name="Angebot" sheetId="5" state="visible" r:id="rId7"/>
  </sheets>
  <definedNames>
    <definedName function="false" hidden="false" localSheetId="4" name="_xlnm.Print_Area" vbProcedure="false">Angebot!$A$1:$F$54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Grundfläche der zu bearbeitenden Räume.</t>
        </r>
      </text>
    </comment>
    <comment ref="B12" authorId="0">
      <text>
        <r>
          <rPr>
            <sz val="10"/>
            <rFont val="Arial"/>
            <family val="2"/>
          </rPr>
          <t xml:space="preserve">Nur informativ / für eigenes Nachrechnen.</t>
        </r>
      </text>
    </comment>
    <comment ref="B13" authorId="0">
      <text>
        <r>
          <rPr>
            <sz val="10"/>
            <rFont val="Arial"/>
            <family val="2"/>
          </rPr>
          <t xml:space="preserve">Faustwert für Wohnungen mit mehreren Räumen: 2,3-2,8. Bei einem einzelnen großen Raum niedriger ansetzen.</t>
        </r>
      </text>
    </comment>
    <comment ref="B15" authorId="0">
      <text>
        <r>
          <rPr>
            <sz val="10"/>
            <rFont val="Arial"/>
            <family val="2"/>
          </rPr>
          <t xml:space="preserve">Summe der nicht zu streichenden Flächen.</t>
        </r>
      </text>
    </comment>
    <comment ref="B20" authorId="0">
      <text>
        <r>
          <rPr>
            <sz val="10"/>
            <rFont val="Arial"/>
            <family val="2"/>
          </rPr>
          <t xml:space="preserve">Wie viel Prozent der Fläche muss tatsächlich gespachtelt werden.</t>
        </r>
      </text>
    </comment>
  </commentList>
</comments>
</file>

<file path=xl/sharedStrings.xml><?xml version="1.0" encoding="utf-8"?>
<sst xmlns="http://schemas.openxmlformats.org/spreadsheetml/2006/main" count="273" uniqueCount="214">
  <si>
    <t xml:space="preserve">Angebotskalkulator - Handwerk &amp; Logistik</t>
  </si>
  <si>
    <t xml:space="preserve">Was die Datei tut</t>
  </si>
  <si>
    <t xml:space="preserve">Aus Aufmaß und Leistungen berechnet sie Stunden, Material, Selbstkosten und daraus einen belastbaren Angebotspreis - inklusive druckfertigem Angebot.</t>
  </si>
  <si>
    <t xml:space="preserve">Farblegende</t>
  </si>
  <si>
    <t xml:space="preserve">blaue Schrift</t>
  </si>
  <si>
    <t xml:space="preserve">Eingabefeld - hier tragen Sie Ihre Werte ein.</t>
  </si>
  <si>
    <t xml:space="preserve">schwarze Schrift</t>
  </si>
  <si>
    <t xml:space="preserve">Formel - bitte nicht überschreiben.</t>
  </si>
  <si>
    <t xml:space="preserve">grüne Schrift</t>
  </si>
  <si>
    <t xml:space="preserve">Verweis auf ein anderes Tabellenblatt.</t>
  </si>
  <si>
    <t xml:space="preserve">gelbe Füllung</t>
  </si>
  <si>
    <t xml:space="preserve">Schlüsselannahme - vor dem ersten Angebot einmal prüfen und anpassen.</t>
  </si>
  <si>
    <t xml:space="preserve">In dieser Reihenfolge</t>
  </si>
  <si>
    <t xml:space="preserve">1. Stammdaten</t>
  </si>
  <si>
    <t xml:space="preserve">Firmendaten eintragen und die Kalkulationsgrößen auf den eigenen Betrieb einstellen. Wichtigster Wert: der Mittellohn.</t>
  </si>
  <si>
    <t xml:space="preserve">2. Leistungskatalog</t>
  </si>
  <si>
    <t xml:space="preserve">Eigene Leistungen ergänzen: Zeit je Einheit und Materialkosten je Einheit. Die Katalog-Nr. ist der Schlüssel, über den die Kalkulation zugreift.</t>
  </si>
  <si>
    <t xml:space="preserve">3. Kalkulation</t>
  </si>
  <si>
    <t xml:space="preserve">Kunde und Aufmaß eintragen, dann je Position eine Katalog-Nr. wählen und die Menge setzen. Mengen dürfen auf den Aufmaß-Block verweisen, z. B. =B16 für die Wandfläche.</t>
  </si>
  <si>
    <t xml:space="preserve">4. Angebot</t>
  </si>
  <si>
    <t xml:space="preserve">Wird automatisch gefüllt und ist auf A4 druckfertig eingerichtet - drucken oder als PDF exportieren.</t>
  </si>
  <si>
    <t xml:space="preserve">Beispiel enthalten</t>
  </si>
  <si>
    <t xml:space="preserve">Vorbelegt ist 'Wohnung 45 m² komplett streichen' inkl. Vorarbeiten und Türen. Einfach die Zahlen im Aufmaß-Block überschreiben - alles rechnet sich neu.</t>
  </si>
  <si>
    <t xml:space="preserve">Rechenweg je Position</t>
  </si>
  <si>
    <t xml:space="preserve">Stunden = Menge x Zeit/Einheit  |  Lohnkosten = Stunden x Mittellohn  |  Material = Menge x Material/Einheit</t>
  </si>
  <si>
    <t xml:space="preserve">Selbstkosten = Lohnkosten x (1 + GK Lohn) + Material x (1 + GK Material)</t>
  </si>
  <si>
    <t xml:space="preserve">Einheitspreis = Selbstkosten x (1 + Wagnis &amp; Gewinn) x (1 + Skonto) / Menge</t>
  </si>
  <si>
    <t xml:space="preserve">Rechenweg Summe</t>
  </si>
  <si>
    <t xml:space="preserve">Positionen + An-/Abfahrt - Rabatt = Nettobetrag; zzgl. USt = Gesamtbetrag brutto.</t>
  </si>
  <si>
    <t xml:space="preserve">Warum Skonto im Preis</t>
  </si>
  <si>
    <t xml:space="preserve">Der Skontosatz steckt im Einheitspreis statt in einer eigenen Summenzeile. So geht das gedruckte Angebot für den Kunden sauber auf, und ein gezogenes Skonto kostet keine Marge.</t>
  </si>
  <si>
    <t xml:space="preserve">Hinweis zu den Vorgabewerten</t>
  </si>
  <si>
    <t xml:space="preserve">Zeit- und Materialansätze im Katalog sind Branchen-Richtwerte zur Orientierung, keine verbindliche Kalkulation. Maßgeblich sind die Werte des eigenen Betriebs.</t>
  </si>
  <si>
    <t xml:space="preserve">Stammdaten und Kalkulationsgrößen</t>
  </si>
  <si>
    <t xml:space="preserve">Firmendaten (erscheinen im Angebotskopf)</t>
  </si>
  <si>
    <t xml:space="preserve">Firmenname</t>
  </si>
  <si>
    <t xml:space="preserve">Muster Malerbetrieb GmbH</t>
  </si>
  <si>
    <t xml:space="preserve">Straße, Nr.</t>
  </si>
  <si>
    <t xml:space="preserve">Handwerkerweg 12</t>
  </si>
  <si>
    <t xml:space="preserve">PLZ / Ort</t>
  </si>
  <si>
    <t xml:space="preserve">12345 Musterstadt</t>
  </si>
  <si>
    <t xml:space="preserve">Telefon</t>
  </si>
  <si>
    <t xml:space="preserve">0123 456789</t>
  </si>
  <si>
    <t xml:space="preserve">E-Mail</t>
  </si>
  <si>
    <t xml:space="preserve">info@muster-malerbetrieb.de</t>
  </si>
  <si>
    <t xml:space="preserve">USt-IdNr.</t>
  </si>
  <si>
    <t xml:space="preserve">DE123456789</t>
  </si>
  <si>
    <t xml:space="preserve">IBAN</t>
  </si>
  <si>
    <t xml:space="preserve">DE00 0000 0000 0000 0000 00</t>
  </si>
  <si>
    <t xml:space="preserve">Kalkulationsgrößen</t>
  </si>
  <si>
    <t xml:space="preserve">Mittellohn (Kosten je produktiver Stunde)</t>
  </si>
  <si>
    <t xml:space="preserve">Bruttolohn + Lohnnebenkosten / produktive Stunden. Richtwert - durch eigenen Wert ersetzen.</t>
  </si>
  <si>
    <t xml:space="preserve">Gemeinkostenzuschlag auf Lohn</t>
  </si>
  <si>
    <t xml:space="preserve">Büro, Fahrzeuge, Werkzeug, Versicherung, unproduktive Zeiten.</t>
  </si>
  <si>
    <t xml:space="preserve">Gemeinkostenzuschlag auf Material</t>
  </si>
  <si>
    <t xml:space="preserve">Beschaffung, Lagerung, Verschnitt.</t>
  </si>
  <si>
    <t xml:space="preserve">Wagnis &amp; Gewinn</t>
  </si>
  <si>
    <t xml:space="preserve">Aufschlag auf die Selbstkosten. Handwerk üblich 8-15 %.</t>
  </si>
  <si>
    <t xml:space="preserve">Rabatt (auf Angebotssumme)</t>
  </si>
  <si>
    <t xml:space="preserve">Optionaler Nachlass. 0 = kein Rabatt.</t>
  </si>
  <si>
    <t xml:space="preserve">Skonto (einkalkuliert)</t>
  </si>
  <si>
    <t xml:space="preserve">Wird auf den Preis aufgeschlagen, damit ein gezogenes Skonto die Marge nicht auffrisst.</t>
  </si>
  <si>
    <t xml:space="preserve">Fahrtkosten je km</t>
  </si>
  <si>
    <t xml:space="preserve">Kilometersatz Nutzfahrzeug inkl. Verschleiß.</t>
  </si>
  <si>
    <t xml:space="preserve">Umsatzsteuersatz</t>
  </si>
  <si>
    <t xml:space="preserve">19 % Regelsatz. Bei Kleinunternehmer nach § 19 UStG auf 0 setzen.</t>
  </si>
  <si>
    <t xml:space="preserve">Zahlungsziel (Tage)</t>
  </si>
  <si>
    <t xml:space="preserve">Erscheint im Angebotstext.</t>
  </si>
  <si>
    <t xml:space="preserve">Angebot gültig (Tage)</t>
  </si>
  <si>
    <t xml:space="preserve">Bindefrist ab Angebotsdatum.</t>
  </si>
  <si>
    <t xml:space="preserve">Alle Vorgabewerte sind Branchen-Richtwerte und vom Nutzer zu prüfen. Quelle der Zahlen: Vorbelegung dieser Vorlage, keine externe Preisliste.</t>
  </si>
  <si>
    <t xml:space="preserve">Leistungskatalog</t>
  </si>
  <si>
    <t xml:space="preserve">Katalog-Nr. ist der Schlüssel für das Blatt 'Kalkulation'. Eigene Leistungen einfach in freien Zeilen ergänzen.</t>
  </si>
  <si>
    <t xml:space="preserve">Nr.</t>
  </si>
  <si>
    <t xml:space="preserve">Gewerk</t>
  </si>
  <si>
    <t xml:space="preserve">Leistung</t>
  </si>
  <si>
    <t xml:space="preserve">Einheit</t>
  </si>
  <si>
    <t xml:space="preserve">Zeit/Einheit (Std)</t>
  </si>
  <si>
    <t xml:space="preserve">Material/Einheit (€)</t>
  </si>
  <si>
    <t xml:space="preserve">Hinweis</t>
  </si>
  <si>
    <t xml:space="preserve">M01</t>
  </si>
  <si>
    <t xml:space="preserve">Maler</t>
  </si>
  <si>
    <t xml:space="preserve">Böden und Mobiliar abdecken, Kanten abkleben</t>
  </si>
  <si>
    <t xml:space="preserve">m²</t>
  </si>
  <si>
    <t xml:space="preserve">Bezug: Bodenfläche</t>
  </si>
  <si>
    <t xml:space="preserve">M02</t>
  </si>
  <si>
    <t xml:space="preserve">Untergrund reinigen und vorbereiten</t>
  </si>
  <si>
    <t xml:space="preserve">M03</t>
  </si>
  <si>
    <t xml:space="preserve">Risse und Löcher spachteln, schleifen</t>
  </si>
  <si>
    <t xml:space="preserve">Nur anteilige Fläche ansetzen</t>
  </si>
  <si>
    <t xml:space="preserve">M04</t>
  </si>
  <si>
    <t xml:space="preserve">Tiefengrund / Haftgrund auftragen</t>
  </si>
  <si>
    <t xml:space="preserve">M05</t>
  </si>
  <si>
    <t xml:space="preserve">Wände streichen, 2 Anstriche Dispersion</t>
  </si>
  <si>
    <t xml:space="preserve">Farbe ca. 0,35 l/m²</t>
  </si>
  <si>
    <t xml:space="preserve">M06</t>
  </si>
  <si>
    <t xml:space="preserve">Decken streichen, 2 Anstriche Dispersion</t>
  </si>
  <si>
    <t xml:space="preserve">Über Kopf, höherer Zeitansatz</t>
  </si>
  <si>
    <t xml:space="preserve">M07</t>
  </si>
  <si>
    <t xml:space="preserve">Fenster- und Heizkörpernischen streichen</t>
  </si>
  <si>
    <t xml:space="preserve">Kleinteilig</t>
  </si>
  <si>
    <t xml:space="preserve">M08</t>
  </si>
  <si>
    <t xml:space="preserve">Türblatt lackieren, beidseitig</t>
  </si>
  <si>
    <t xml:space="preserve">Stk</t>
  </si>
  <si>
    <t xml:space="preserve">M09</t>
  </si>
  <si>
    <t xml:space="preserve">Türzarge lackieren</t>
  </si>
  <si>
    <t xml:space="preserve">M10</t>
  </si>
  <si>
    <t xml:space="preserve">Endreinigung und Abfallentsorgung</t>
  </si>
  <si>
    <t xml:space="preserve">M11</t>
  </si>
  <si>
    <t xml:space="preserve">Raufasertapete entfernen</t>
  </si>
  <si>
    <t xml:space="preserve">M12</t>
  </si>
  <si>
    <t xml:space="preserve">An- und Abfahrt, Rüst- und Räumzeit</t>
  </si>
  <si>
    <t xml:space="preserve">pausch.</t>
  </si>
  <si>
    <t xml:space="preserve">Je Einsatz</t>
  </si>
  <si>
    <t xml:space="preserve">T01</t>
  </si>
  <si>
    <t xml:space="preserve">Trockenbau</t>
  </si>
  <si>
    <t xml:space="preserve">Gipskartonwand beplanken, einlagig</t>
  </si>
  <si>
    <t xml:space="preserve">T02</t>
  </si>
  <si>
    <t xml:space="preserve">Fugen spachteln Q2</t>
  </si>
  <si>
    <t xml:space="preserve">B01</t>
  </si>
  <si>
    <t xml:space="preserve">Boden</t>
  </si>
  <si>
    <t xml:space="preserve">Laminat verlegen inkl. Trittschall</t>
  </si>
  <si>
    <t xml:space="preserve">B02</t>
  </si>
  <si>
    <t xml:space="preserve">Sockelleisten montieren</t>
  </si>
  <si>
    <t xml:space="preserve">m</t>
  </si>
  <si>
    <t xml:space="preserve">E01</t>
  </si>
  <si>
    <t xml:space="preserve">Elektro</t>
  </si>
  <si>
    <t xml:space="preserve">Steckdose / Schalter tauschen</t>
  </si>
  <si>
    <t xml:space="preserve">E02</t>
  </si>
  <si>
    <t xml:space="preserve">Leuchte montieren und anschließen</t>
  </si>
  <si>
    <t xml:space="preserve">Leuchte bauseits</t>
  </si>
  <si>
    <t xml:space="preserve">L01</t>
  </si>
  <si>
    <t xml:space="preserve">Logistik</t>
  </si>
  <si>
    <t xml:space="preserve">Be- und Entladen (Personalstunde)</t>
  </si>
  <si>
    <t xml:space="preserve">Std</t>
  </si>
  <si>
    <t xml:space="preserve">L02</t>
  </si>
  <si>
    <t xml:space="preserve">Transportfahrt Nutzfahrzeug</t>
  </si>
  <si>
    <t xml:space="preserve">km</t>
  </si>
  <si>
    <t xml:space="preserve">Zeit + Betriebskosten je km</t>
  </si>
  <si>
    <t xml:space="preserve">L03</t>
  </si>
  <si>
    <t xml:space="preserve">Umzugskarton packen inkl. Material</t>
  </si>
  <si>
    <t xml:space="preserve">L04</t>
  </si>
  <si>
    <t xml:space="preserve">Möbeldemontage / -montage</t>
  </si>
  <si>
    <t xml:space="preserve">L05</t>
  </si>
  <si>
    <t xml:space="preserve">Einlagerung je m³ und Monat</t>
  </si>
  <si>
    <t xml:space="preserve">m³</t>
  </si>
  <si>
    <t xml:space="preserve">L06</t>
  </si>
  <si>
    <t xml:space="preserve">Halteverbotszone beantragen und stellen</t>
  </si>
  <si>
    <t xml:space="preserve">Zeit- und Materialansätze sind Richtwerte dieser Vorlage zur Orientierung (keine externe Preisliste) und durch die eigenen Nachkalkulationswerte zu ersetzen.</t>
  </si>
  <si>
    <t xml:space="preserve">Angebotskalkulation</t>
  </si>
  <si>
    <t xml:space="preserve">Kunde und Vorgang</t>
  </si>
  <si>
    <t xml:space="preserve">Kunde / Auftraggeber</t>
  </si>
  <si>
    <t xml:space="preserve">Familie Beispiel</t>
  </si>
  <si>
    <t xml:space="preserve">Beispielstrasse 7</t>
  </si>
  <si>
    <t xml:space="preserve">Bauvorhaben / Objekt</t>
  </si>
  <si>
    <t xml:space="preserve">Wohnung 45 m², komplett streichen</t>
  </si>
  <si>
    <t xml:space="preserve">Angebotsnummer</t>
  </si>
  <si>
    <t xml:space="preserve">2026-0001</t>
  </si>
  <si>
    <t xml:space="preserve">Angebotsdatum</t>
  </si>
  <si>
    <t xml:space="preserve">Aufmaß-Helfer (Eingaben blau, Ergebnisse schwarz)</t>
  </si>
  <si>
    <t xml:space="preserve">Wohnfläche (m²)</t>
  </si>
  <si>
    <t xml:space="preserve">Grundfläche der zu bearbeitenden Räume.</t>
  </si>
  <si>
    <t xml:space="preserve">Raumhöhe (m)</t>
  </si>
  <si>
    <t xml:space="preserve">Nur informativ / für eigenes Nachrechnen.</t>
  </si>
  <si>
    <t xml:space="preserve">Faktor Wandfläche je m² Wohnfläche</t>
  </si>
  <si>
    <t xml:space="preserve">Faustwert für Wohnungen mit mehreren Räumen: 2,3-2,8. Bei einem einzelnen großen Raum niedriger ansetzen.</t>
  </si>
  <si>
    <t xml:space="preserve">Wandfläche brutto (m²)</t>
  </si>
  <si>
    <t xml:space="preserve">Abzug Fenster und Türen (m²)</t>
  </si>
  <si>
    <t xml:space="preserve">Summe der nicht zu streichenden Flächen.</t>
  </si>
  <si>
    <t xml:space="preserve">Wandfläche netto (m²)</t>
  </si>
  <si>
    <t xml:space="preserve">Deckenfläche (m²)</t>
  </si>
  <si>
    <t xml:space="preserve">Bodenfläche zum Abdecken (m²)</t>
  </si>
  <si>
    <t xml:space="preserve">Anzahl Türen (Stk)</t>
  </si>
  <si>
    <t xml:space="preserve">Anteil Spachtel-/Ausbesserungsfläche</t>
  </si>
  <si>
    <t xml:space="preserve">Wie viel Prozent der Fläche muss tatsächlich gespachtelt werden.</t>
  </si>
  <si>
    <t xml:space="preserve">Fahrstrecke gesamt (km, hin und zurück)</t>
  </si>
  <si>
    <t xml:space="preserve">Positionen</t>
  </si>
  <si>
    <t xml:space="preserve">Pos</t>
  </si>
  <si>
    <t xml:space="preserve">Kat.-Nr.</t>
  </si>
  <si>
    <t xml:space="preserve">Menge</t>
  </si>
  <si>
    <t xml:space="preserve">Zeit/Einh. (Std)</t>
  </si>
  <si>
    <t xml:space="preserve">Stunden</t>
  </si>
  <si>
    <t xml:space="preserve">Lohnkosten (€)</t>
  </si>
  <si>
    <t xml:space="preserve">Material/Einh. (€)</t>
  </si>
  <si>
    <t xml:space="preserve">Material (€)</t>
  </si>
  <si>
    <t xml:space="preserve">Selbstkosten (€)</t>
  </si>
  <si>
    <t xml:space="preserve">EP netto (€)</t>
  </si>
  <si>
    <t xml:space="preserve">GP netto (€)</t>
  </si>
  <si>
    <t xml:space="preserve">Zwischensumme Positionen (netto)</t>
  </si>
  <si>
    <t xml:space="preserve">An- und Abfahrt (km x Kilometersatz)</t>
  </si>
  <si>
    <t xml:space="preserve">Zwischensumme (netto)</t>
  </si>
  <si>
    <t xml:space="preserve">Rabatt</t>
  </si>
  <si>
    <t xml:space="preserve">Nettobetrag</t>
  </si>
  <si>
    <t xml:space="preserve">zzgl. Umsatzsteuer</t>
  </si>
  <si>
    <t xml:space="preserve">Gesamtbetrag (brutto)</t>
  </si>
  <si>
    <t xml:space="preserve">Kennzahlen (nur intern - nicht Teil des Angebots)</t>
  </si>
  <si>
    <t xml:space="preserve">Gesamtstunden</t>
  </si>
  <si>
    <t xml:space="preserve">Materialkosten (netto)</t>
  </si>
  <si>
    <t xml:space="preserve">Selbstkosten gesamt</t>
  </si>
  <si>
    <t xml:space="preserve">Deckungsbeitrag</t>
  </si>
  <si>
    <t xml:space="preserve">Marge auf Nettoumsatz</t>
  </si>
  <si>
    <t xml:space="preserve">Angebotspreis je m² Wohnfläche</t>
  </si>
  <si>
    <t xml:space="preserve">Erlös je Arbeitsstunde</t>
  </si>
  <si>
    <t xml:space="preserve">ANGEBOT</t>
  </si>
  <si>
    <t xml:space="preserve">Angebotsnr.</t>
  </si>
  <si>
    <t xml:space="preserve">Datum</t>
  </si>
  <si>
    <t xml:space="preserve">Gültig bis</t>
  </si>
  <si>
    <t xml:space="preserve">Sehr geehrte Damen und Herren, vielen Dank für Ihre Anfrage. Für die genannten Leistungen bieten wir Ihnen an:</t>
  </si>
  <si>
    <t xml:space="preserve">EP (€)</t>
  </si>
  <si>
    <t xml:space="preserve">Gesamt (€)</t>
  </si>
  <si>
    <t xml:space="preserve">Zwischensumme Positionen</t>
  </si>
  <si>
    <t xml:space="preserve">An- und Abfahrt</t>
  </si>
  <si>
    <t xml:space="preserve">Ausführungstermin nach Absprache. Es gelten unsere allgemeinen Geschäftsbedingungen.</t>
  </si>
  <si>
    <t xml:space="preserve">Mit freundlichen Grüßen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</si>
</sst>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€&quot;"/>
    <numFmt numFmtId="166" formatCode="0.0%"/>
    <numFmt numFmtId="167" formatCode="0"/>
    <numFmt numFmtId="168" formatCode="#,##0.000"/>
    <numFmt numFmtId="169" formatCode="dd\.mm\.yyyy"/>
    <numFmt numFmtId="170" formatCode="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0606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5"/>
      <color rgb="FF1F3864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  <fill>
      <patternFill patternType="solid">
        <fgColor rgb="FFD9D9D9"/>
        <bgColor rgb="FFDCE6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medium">
        <color rgb="FF1F3864"/>
      </top>
      <bottom style="thin">
        <color rgb="FFA6A6A6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6"/>
  </cols>
  <sheetData>
    <row r="1" customFormat="false" ht="21.75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/>
      <c r="B3" s="3"/>
    </row>
    <row r="4" customFormat="false" ht="30" hidden="false" customHeight="true" outlineLevel="0" collapsed="false">
      <c r="A4" s="4" t="s">
        <v>1</v>
      </c>
      <c r="B4" s="3" t="s">
        <v>2</v>
      </c>
    </row>
    <row r="5" customFormat="false" ht="15" hidden="false" customHeight="false" outlineLevel="0" collapsed="false">
      <c r="A5" s="2"/>
      <c r="B5" s="3"/>
    </row>
    <row r="6" customFormat="false" ht="15" hidden="false" customHeight="false" outlineLevel="0" collapsed="false">
      <c r="A6" s="4" t="s">
        <v>3</v>
      </c>
      <c r="B6" s="3"/>
    </row>
    <row r="7" customFormat="false" ht="15" hidden="false" customHeight="false" outlineLevel="0" collapsed="false">
      <c r="A7" s="5" t="s">
        <v>4</v>
      </c>
      <c r="B7" s="3" t="s">
        <v>5</v>
      </c>
    </row>
    <row r="8" customFormat="false" ht="15" hidden="false" customHeight="false" outlineLevel="0" collapsed="false">
      <c r="A8" s="6" t="s">
        <v>6</v>
      </c>
      <c r="B8" s="3" t="s">
        <v>7</v>
      </c>
    </row>
    <row r="9" customFormat="false" ht="15" hidden="false" customHeight="false" outlineLevel="0" collapsed="false">
      <c r="A9" s="7" t="s">
        <v>8</v>
      </c>
      <c r="B9" s="3" t="s">
        <v>9</v>
      </c>
    </row>
    <row r="10" customFormat="false" ht="15" hidden="false" customHeight="false" outlineLevel="0" collapsed="false">
      <c r="A10" s="8" t="s">
        <v>10</v>
      </c>
      <c r="B10" s="3" t="s">
        <v>11</v>
      </c>
    </row>
    <row r="11" customFormat="false" ht="15" hidden="false" customHeight="false" outlineLevel="0" collapsed="false">
      <c r="A11" s="2"/>
      <c r="B11" s="3"/>
    </row>
    <row r="12" customFormat="false" ht="15" hidden="false" customHeight="false" outlineLevel="0" collapsed="false">
      <c r="A12" s="4" t="s">
        <v>12</v>
      </c>
      <c r="B12" s="3"/>
    </row>
    <row r="13" customFormat="false" ht="30" hidden="false" customHeight="true" outlineLevel="0" collapsed="false">
      <c r="A13" s="4" t="s">
        <v>13</v>
      </c>
      <c r="B13" s="3" t="s">
        <v>14</v>
      </c>
    </row>
    <row r="14" customFormat="false" ht="30" hidden="false" customHeight="true" outlineLevel="0" collapsed="false">
      <c r="A14" s="4" t="s">
        <v>15</v>
      </c>
      <c r="B14" s="3" t="s">
        <v>16</v>
      </c>
    </row>
    <row r="15" customFormat="false" ht="30" hidden="false" customHeight="true" outlineLevel="0" collapsed="false">
      <c r="A15" s="4" t="s">
        <v>17</v>
      </c>
      <c r="B15" s="3" t="s">
        <v>18</v>
      </c>
    </row>
    <row r="16" customFormat="false" ht="30" hidden="false" customHeight="true" outlineLevel="0" collapsed="false">
      <c r="A16" s="4" t="s">
        <v>19</v>
      </c>
      <c r="B16" s="3" t="s">
        <v>20</v>
      </c>
    </row>
    <row r="17" customFormat="false" ht="15" hidden="false" customHeight="false" outlineLevel="0" collapsed="false">
      <c r="A17" s="2"/>
      <c r="B17" s="3"/>
    </row>
    <row r="18" customFormat="false" ht="30" hidden="false" customHeight="true" outlineLevel="0" collapsed="false">
      <c r="A18" s="4" t="s">
        <v>21</v>
      </c>
      <c r="B18" s="3" t="s">
        <v>22</v>
      </c>
    </row>
    <row r="19" customFormat="false" ht="15" hidden="false" customHeight="false" outlineLevel="0" collapsed="false">
      <c r="A19" s="2"/>
      <c r="B19" s="3"/>
    </row>
    <row r="20" customFormat="false" ht="30" hidden="false" customHeight="true" outlineLevel="0" collapsed="false">
      <c r="A20" s="4" t="s">
        <v>23</v>
      </c>
      <c r="B20" s="3" t="s">
        <v>24</v>
      </c>
    </row>
    <row r="21" customFormat="false" ht="15" hidden="false" customHeight="false" outlineLevel="0" collapsed="false">
      <c r="A21" s="2"/>
      <c r="B21" s="3" t="s">
        <v>25</v>
      </c>
    </row>
    <row r="22" customFormat="false" ht="15" hidden="false" customHeight="false" outlineLevel="0" collapsed="false">
      <c r="A22" s="2"/>
      <c r="B22" s="3" t="s">
        <v>26</v>
      </c>
    </row>
    <row r="23" customFormat="false" ht="15" hidden="false" customHeight="false" outlineLevel="0" collapsed="false">
      <c r="A23" s="2"/>
      <c r="B23" s="3"/>
    </row>
    <row r="24" customFormat="false" ht="15" hidden="false" customHeight="false" outlineLevel="0" collapsed="false">
      <c r="A24" s="4" t="s">
        <v>27</v>
      </c>
      <c r="B24" s="3" t="s">
        <v>28</v>
      </c>
    </row>
    <row r="25" customFormat="false" ht="30" hidden="false" customHeight="true" outlineLevel="0" collapsed="false">
      <c r="A25" s="4" t="s">
        <v>29</v>
      </c>
      <c r="B25" s="3" t="s">
        <v>30</v>
      </c>
    </row>
    <row r="26" customFormat="false" ht="15" hidden="false" customHeight="false" outlineLevel="0" collapsed="false">
      <c r="A26" s="2"/>
      <c r="B26" s="3"/>
    </row>
    <row r="27" customFormat="false" ht="30" hidden="false" customHeight="true" outlineLevel="0" collapsed="false">
      <c r="A27" s="4" t="s">
        <v>31</v>
      </c>
      <c r="B27" s="3" t="s">
        <v>32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62"/>
  </cols>
  <sheetData>
    <row r="1" customFormat="false" ht="21.75" hidden="false" customHeight="true" outlineLevel="0" collapsed="false">
      <c r="A1" s="1" t="s">
        <v>33</v>
      </c>
      <c r="B1" s="1"/>
      <c r="C1" s="1"/>
    </row>
    <row r="3" customFormat="false" ht="15" hidden="false" customHeight="false" outlineLevel="0" collapsed="false">
      <c r="A3" s="9" t="s">
        <v>34</v>
      </c>
      <c r="B3" s="10"/>
      <c r="C3" s="10"/>
    </row>
    <row r="4" customFormat="false" ht="15" hidden="false" customHeight="false" outlineLevel="0" collapsed="false">
      <c r="A4" s="2" t="s">
        <v>35</v>
      </c>
      <c r="B4" s="11" t="s">
        <v>36</v>
      </c>
    </row>
    <row r="5" customFormat="false" ht="15" hidden="false" customHeight="false" outlineLevel="0" collapsed="false">
      <c r="A5" s="2" t="s">
        <v>37</v>
      </c>
      <c r="B5" s="11" t="s">
        <v>38</v>
      </c>
    </row>
    <row r="6" customFormat="false" ht="15" hidden="false" customHeight="false" outlineLevel="0" collapsed="false">
      <c r="A6" s="2" t="s">
        <v>39</v>
      </c>
      <c r="B6" s="11" t="s">
        <v>40</v>
      </c>
    </row>
    <row r="7" customFormat="false" ht="15" hidden="false" customHeight="false" outlineLevel="0" collapsed="false">
      <c r="A7" s="2" t="s">
        <v>41</v>
      </c>
      <c r="B7" s="11" t="s">
        <v>42</v>
      </c>
    </row>
    <row r="8" customFormat="false" ht="15" hidden="false" customHeight="false" outlineLevel="0" collapsed="false">
      <c r="A8" s="2" t="s">
        <v>43</v>
      </c>
      <c r="B8" s="11" t="s">
        <v>44</v>
      </c>
    </row>
    <row r="9" customFormat="false" ht="15" hidden="false" customHeight="false" outlineLevel="0" collapsed="false">
      <c r="A9" s="2" t="s">
        <v>45</v>
      </c>
      <c r="B9" s="11" t="s">
        <v>46</v>
      </c>
    </row>
    <row r="10" customFormat="false" ht="15" hidden="false" customHeight="false" outlineLevel="0" collapsed="false">
      <c r="A10" s="2" t="s">
        <v>47</v>
      </c>
      <c r="B10" s="11" t="s">
        <v>48</v>
      </c>
    </row>
    <row r="13" customFormat="false" ht="15" hidden="false" customHeight="false" outlineLevel="0" collapsed="false">
      <c r="A13" s="9" t="s">
        <v>49</v>
      </c>
      <c r="B13" s="9"/>
      <c r="C13" s="9"/>
    </row>
    <row r="14" customFormat="false" ht="15" hidden="false" customHeight="false" outlineLevel="0" collapsed="false">
      <c r="A14" s="2" t="s">
        <v>50</v>
      </c>
      <c r="B14" s="12" t="n">
        <v>42</v>
      </c>
      <c r="C14" s="13" t="s">
        <v>51</v>
      </c>
    </row>
    <row r="15" customFormat="false" ht="15" hidden="false" customHeight="false" outlineLevel="0" collapsed="false">
      <c r="A15" s="2" t="s">
        <v>52</v>
      </c>
      <c r="B15" s="14" t="n">
        <v>0.25</v>
      </c>
      <c r="C15" s="13" t="s">
        <v>53</v>
      </c>
    </row>
    <row r="16" customFormat="false" ht="15" hidden="false" customHeight="false" outlineLevel="0" collapsed="false">
      <c r="A16" s="2" t="s">
        <v>54</v>
      </c>
      <c r="B16" s="14" t="n">
        <v>0.1</v>
      </c>
      <c r="C16" s="13" t="s">
        <v>55</v>
      </c>
    </row>
    <row r="17" customFormat="false" ht="15" hidden="false" customHeight="false" outlineLevel="0" collapsed="false">
      <c r="A17" s="2" t="s">
        <v>56</v>
      </c>
      <c r="B17" s="14" t="n">
        <v>0.12</v>
      </c>
      <c r="C17" s="13" t="s">
        <v>57</v>
      </c>
    </row>
    <row r="18" customFormat="false" ht="15" hidden="false" customHeight="false" outlineLevel="0" collapsed="false">
      <c r="A18" s="2" t="s">
        <v>58</v>
      </c>
      <c r="B18" s="14" t="n">
        <v>0</v>
      </c>
      <c r="C18" s="13" t="s">
        <v>59</v>
      </c>
    </row>
    <row r="19" customFormat="false" ht="15" hidden="false" customHeight="false" outlineLevel="0" collapsed="false">
      <c r="A19" s="2" t="s">
        <v>60</v>
      </c>
      <c r="B19" s="14" t="n">
        <v>0.02</v>
      </c>
      <c r="C19" s="13" t="s">
        <v>61</v>
      </c>
    </row>
    <row r="20" customFormat="false" ht="15" hidden="false" customHeight="false" outlineLevel="0" collapsed="false">
      <c r="A20" s="2" t="s">
        <v>62</v>
      </c>
      <c r="B20" s="12" t="n">
        <v>0.7</v>
      </c>
      <c r="C20" s="13" t="s">
        <v>63</v>
      </c>
    </row>
    <row r="21" customFormat="false" ht="15" hidden="false" customHeight="false" outlineLevel="0" collapsed="false">
      <c r="A21" s="2" t="s">
        <v>64</v>
      </c>
      <c r="B21" s="14" t="n">
        <v>0.19</v>
      </c>
      <c r="C21" s="13" t="s">
        <v>65</v>
      </c>
    </row>
    <row r="22" customFormat="false" ht="15" hidden="false" customHeight="false" outlineLevel="0" collapsed="false">
      <c r="A22" s="2" t="s">
        <v>66</v>
      </c>
      <c r="B22" s="15" t="n">
        <v>14</v>
      </c>
      <c r="C22" s="13" t="s">
        <v>67</v>
      </c>
    </row>
    <row r="23" customFormat="false" ht="15" hidden="false" customHeight="false" outlineLevel="0" collapsed="false">
      <c r="A23" s="2" t="s">
        <v>68</v>
      </c>
      <c r="B23" s="15" t="n">
        <v>30</v>
      </c>
      <c r="C23" s="13" t="s">
        <v>69</v>
      </c>
    </row>
    <row r="25" customFormat="false" ht="15" hidden="false" customHeight="false" outlineLevel="0" collapsed="false">
      <c r="A25" s="16" t="s">
        <v>70</v>
      </c>
      <c r="B25" s="16"/>
      <c r="C25" s="16"/>
    </row>
  </sheetData>
  <mergeCells count="2">
    <mergeCell ref="A1:C1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6" t="s">
        <v>72</v>
      </c>
      <c r="B2" s="16"/>
      <c r="C2" s="16"/>
      <c r="D2" s="16"/>
      <c r="E2" s="16"/>
      <c r="F2" s="16"/>
      <c r="G2" s="16"/>
    </row>
    <row r="3" customFormat="false" ht="30" hidden="false" customHeight="true" outlineLevel="0" collapsed="false">
      <c r="A3" s="17" t="s">
        <v>73</v>
      </c>
      <c r="B3" s="17" t="s">
        <v>74</v>
      </c>
      <c r="C3" s="17" t="s">
        <v>75</v>
      </c>
      <c r="D3" s="17" t="s">
        <v>76</v>
      </c>
      <c r="E3" s="17" t="s">
        <v>77</v>
      </c>
      <c r="F3" s="17" t="s">
        <v>78</v>
      </c>
      <c r="G3" s="17" t="s">
        <v>79</v>
      </c>
    </row>
    <row r="4" customFormat="false" ht="15" hidden="false" customHeight="false" outlineLevel="0" collapsed="false">
      <c r="A4" s="18" t="s">
        <v>80</v>
      </c>
      <c r="B4" s="18" t="s">
        <v>81</v>
      </c>
      <c r="C4" s="18" t="s">
        <v>82</v>
      </c>
      <c r="D4" s="18" t="s">
        <v>83</v>
      </c>
      <c r="E4" s="19" t="n">
        <v>0.05</v>
      </c>
      <c r="F4" s="12" t="n">
        <v>0.35</v>
      </c>
      <c r="G4" s="20" t="s">
        <v>84</v>
      </c>
    </row>
    <row r="5" customFormat="false" ht="15" hidden="false" customHeight="false" outlineLevel="0" collapsed="false">
      <c r="A5" s="21" t="s">
        <v>85</v>
      </c>
      <c r="B5" s="21" t="s">
        <v>81</v>
      </c>
      <c r="C5" s="21" t="s">
        <v>86</v>
      </c>
      <c r="D5" s="21" t="s">
        <v>83</v>
      </c>
      <c r="E5" s="19" t="n">
        <v>0.04</v>
      </c>
      <c r="F5" s="12" t="n">
        <v>0.1</v>
      </c>
      <c r="G5" s="20"/>
    </row>
    <row r="6" customFormat="false" ht="15" hidden="false" customHeight="false" outlineLevel="0" collapsed="false">
      <c r="A6" s="18" t="s">
        <v>87</v>
      </c>
      <c r="B6" s="18" t="s">
        <v>81</v>
      </c>
      <c r="C6" s="18" t="s">
        <v>88</v>
      </c>
      <c r="D6" s="18" t="s">
        <v>83</v>
      </c>
      <c r="E6" s="19" t="n">
        <v>0.06</v>
      </c>
      <c r="F6" s="12" t="n">
        <v>0.45</v>
      </c>
      <c r="G6" s="20" t="s">
        <v>89</v>
      </c>
    </row>
    <row r="7" customFormat="false" ht="15" hidden="false" customHeight="false" outlineLevel="0" collapsed="false">
      <c r="A7" s="21" t="s">
        <v>90</v>
      </c>
      <c r="B7" s="21" t="s">
        <v>81</v>
      </c>
      <c r="C7" s="21" t="s">
        <v>91</v>
      </c>
      <c r="D7" s="21" t="s">
        <v>83</v>
      </c>
      <c r="E7" s="19" t="n">
        <v>0.03</v>
      </c>
      <c r="F7" s="12" t="n">
        <v>0.55</v>
      </c>
      <c r="G7" s="20"/>
    </row>
    <row r="8" customFormat="false" ht="15" hidden="false" customHeight="false" outlineLevel="0" collapsed="false">
      <c r="A8" s="18" t="s">
        <v>92</v>
      </c>
      <c r="B8" s="18" t="s">
        <v>81</v>
      </c>
      <c r="C8" s="18" t="s">
        <v>93</v>
      </c>
      <c r="D8" s="18" t="s">
        <v>83</v>
      </c>
      <c r="E8" s="19" t="n">
        <v>0.12</v>
      </c>
      <c r="F8" s="12" t="n">
        <v>1.25</v>
      </c>
      <c r="G8" s="20" t="s">
        <v>94</v>
      </c>
    </row>
    <row r="9" customFormat="false" ht="15" hidden="false" customHeight="false" outlineLevel="0" collapsed="false">
      <c r="A9" s="21" t="s">
        <v>95</v>
      </c>
      <c r="B9" s="21" t="s">
        <v>81</v>
      </c>
      <c r="C9" s="21" t="s">
        <v>96</v>
      </c>
      <c r="D9" s="21" t="s">
        <v>83</v>
      </c>
      <c r="E9" s="19" t="n">
        <v>0.15</v>
      </c>
      <c r="F9" s="12" t="n">
        <v>1.25</v>
      </c>
      <c r="G9" s="20" t="s">
        <v>97</v>
      </c>
    </row>
    <row r="10" customFormat="false" ht="15" hidden="false" customHeight="false" outlineLevel="0" collapsed="false">
      <c r="A10" s="18" t="s">
        <v>98</v>
      </c>
      <c r="B10" s="18" t="s">
        <v>81</v>
      </c>
      <c r="C10" s="18" t="s">
        <v>99</v>
      </c>
      <c r="D10" s="18" t="s">
        <v>83</v>
      </c>
      <c r="E10" s="19" t="n">
        <v>0.25</v>
      </c>
      <c r="F10" s="12" t="n">
        <v>1.6</v>
      </c>
      <c r="G10" s="20" t="s">
        <v>100</v>
      </c>
    </row>
    <row r="11" customFormat="false" ht="15" hidden="false" customHeight="false" outlineLevel="0" collapsed="false">
      <c r="A11" s="21" t="s">
        <v>101</v>
      </c>
      <c r="B11" s="21" t="s">
        <v>81</v>
      </c>
      <c r="C11" s="21" t="s">
        <v>102</v>
      </c>
      <c r="D11" s="21" t="s">
        <v>103</v>
      </c>
      <c r="E11" s="19" t="n">
        <v>1.2</v>
      </c>
      <c r="F11" s="12" t="n">
        <v>12</v>
      </c>
      <c r="G11" s="20"/>
    </row>
    <row r="12" customFormat="false" ht="15" hidden="false" customHeight="false" outlineLevel="0" collapsed="false">
      <c r="A12" s="18" t="s">
        <v>104</v>
      </c>
      <c r="B12" s="18" t="s">
        <v>81</v>
      </c>
      <c r="C12" s="18" t="s">
        <v>105</v>
      </c>
      <c r="D12" s="18" t="s">
        <v>103</v>
      </c>
      <c r="E12" s="19" t="n">
        <v>0.8</v>
      </c>
      <c r="F12" s="12" t="n">
        <v>7.5</v>
      </c>
      <c r="G12" s="20"/>
    </row>
    <row r="13" customFormat="false" ht="15" hidden="false" customHeight="false" outlineLevel="0" collapsed="false">
      <c r="A13" s="21" t="s">
        <v>106</v>
      </c>
      <c r="B13" s="21" t="s">
        <v>81</v>
      </c>
      <c r="C13" s="21" t="s">
        <v>107</v>
      </c>
      <c r="D13" s="21" t="s">
        <v>83</v>
      </c>
      <c r="E13" s="19" t="n">
        <v>0.04</v>
      </c>
      <c r="F13" s="12" t="n">
        <v>0.25</v>
      </c>
      <c r="G13" s="20" t="s">
        <v>84</v>
      </c>
    </row>
    <row r="14" customFormat="false" ht="15" hidden="false" customHeight="false" outlineLevel="0" collapsed="false">
      <c r="A14" s="18" t="s">
        <v>108</v>
      </c>
      <c r="B14" s="18" t="s">
        <v>81</v>
      </c>
      <c r="C14" s="18" t="s">
        <v>109</v>
      </c>
      <c r="D14" s="18" t="s">
        <v>83</v>
      </c>
      <c r="E14" s="19" t="n">
        <v>0.18</v>
      </c>
      <c r="F14" s="12" t="n">
        <v>0.3</v>
      </c>
      <c r="G14" s="20"/>
    </row>
    <row r="15" customFormat="false" ht="15" hidden="false" customHeight="false" outlineLevel="0" collapsed="false">
      <c r="A15" s="21" t="s">
        <v>110</v>
      </c>
      <c r="B15" s="21" t="s">
        <v>81</v>
      </c>
      <c r="C15" s="21" t="s">
        <v>111</v>
      </c>
      <c r="D15" s="21" t="s">
        <v>112</v>
      </c>
      <c r="E15" s="19" t="n">
        <v>1.5</v>
      </c>
      <c r="F15" s="12" t="n">
        <v>0</v>
      </c>
      <c r="G15" s="20" t="s">
        <v>113</v>
      </c>
    </row>
    <row r="16" customFormat="false" ht="15" hidden="false" customHeight="false" outlineLevel="0" collapsed="false">
      <c r="A16" s="18" t="s">
        <v>114</v>
      </c>
      <c r="B16" s="18" t="s">
        <v>115</v>
      </c>
      <c r="C16" s="18" t="s">
        <v>116</v>
      </c>
      <c r="D16" s="18" t="s">
        <v>83</v>
      </c>
      <c r="E16" s="19" t="n">
        <v>0.35</v>
      </c>
      <c r="F16" s="12" t="n">
        <v>14.5</v>
      </c>
      <c r="G16" s="20"/>
    </row>
    <row r="17" customFormat="false" ht="15" hidden="false" customHeight="false" outlineLevel="0" collapsed="false">
      <c r="A17" s="21" t="s">
        <v>117</v>
      </c>
      <c r="B17" s="21" t="s">
        <v>115</v>
      </c>
      <c r="C17" s="21" t="s">
        <v>118</v>
      </c>
      <c r="D17" s="21" t="s">
        <v>83</v>
      </c>
      <c r="E17" s="19" t="n">
        <v>0.12</v>
      </c>
      <c r="F17" s="12" t="n">
        <v>1.1</v>
      </c>
      <c r="G17" s="20"/>
    </row>
    <row r="18" customFormat="false" ht="15" hidden="false" customHeight="false" outlineLevel="0" collapsed="false">
      <c r="A18" s="18" t="s">
        <v>119</v>
      </c>
      <c r="B18" s="18" t="s">
        <v>120</v>
      </c>
      <c r="C18" s="18" t="s">
        <v>121</v>
      </c>
      <c r="D18" s="18" t="s">
        <v>83</v>
      </c>
      <c r="E18" s="19" t="n">
        <v>0.25</v>
      </c>
      <c r="F18" s="12" t="n">
        <v>18</v>
      </c>
      <c r="G18" s="20"/>
    </row>
    <row r="19" customFormat="false" ht="15" hidden="false" customHeight="false" outlineLevel="0" collapsed="false">
      <c r="A19" s="21" t="s">
        <v>122</v>
      </c>
      <c r="B19" s="21" t="s">
        <v>120</v>
      </c>
      <c r="C19" s="21" t="s">
        <v>123</v>
      </c>
      <c r="D19" s="21" t="s">
        <v>124</v>
      </c>
      <c r="E19" s="19" t="n">
        <v>0.1</v>
      </c>
      <c r="F19" s="12" t="n">
        <v>4.2</v>
      </c>
      <c r="G19" s="20"/>
    </row>
    <row r="20" customFormat="false" ht="15" hidden="false" customHeight="false" outlineLevel="0" collapsed="false">
      <c r="A20" s="18" t="s">
        <v>125</v>
      </c>
      <c r="B20" s="18" t="s">
        <v>126</v>
      </c>
      <c r="C20" s="18" t="s">
        <v>127</v>
      </c>
      <c r="D20" s="18" t="s">
        <v>103</v>
      </c>
      <c r="E20" s="19" t="n">
        <v>0.35</v>
      </c>
      <c r="F20" s="12" t="n">
        <v>6.5</v>
      </c>
      <c r="G20" s="20"/>
    </row>
    <row r="21" customFormat="false" ht="15" hidden="false" customHeight="false" outlineLevel="0" collapsed="false">
      <c r="A21" s="21" t="s">
        <v>128</v>
      </c>
      <c r="B21" s="21" t="s">
        <v>126</v>
      </c>
      <c r="C21" s="21" t="s">
        <v>129</v>
      </c>
      <c r="D21" s="21" t="s">
        <v>103</v>
      </c>
      <c r="E21" s="19" t="n">
        <v>0.5</v>
      </c>
      <c r="F21" s="12" t="n">
        <v>0</v>
      </c>
      <c r="G21" s="20" t="s">
        <v>130</v>
      </c>
    </row>
    <row r="22" customFormat="false" ht="15" hidden="false" customHeight="false" outlineLevel="0" collapsed="false">
      <c r="A22" s="18" t="s">
        <v>131</v>
      </c>
      <c r="B22" s="18" t="s">
        <v>132</v>
      </c>
      <c r="C22" s="18" t="s">
        <v>133</v>
      </c>
      <c r="D22" s="18" t="s">
        <v>134</v>
      </c>
      <c r="E22" s="19" t="n">
        <v>1</v>
      </c>
      <c r="F22" s="12" t="n">
        <v>0</v>
      </c>
      <c r="G22" s="20"/>
    </row>
    <row r="23" customFormat="false" ht="15" hidden="false" customHeight="false" outlineLevel="0" collapsed="false">
      <c r="A23" s="21" t="s">
        <v>135</v>
      </c>
      <c r="B23" s="21" t="s">
        <v>132</v>
      </c>
      <c r="C23" s="21" t="s">
        <v>136</v>
      </c>
      <c r="D23" s="21" t="s">
        <v>137</v>
      </c>
      <c r="E23" s="19" t="n">
        <v>0.02</v>
      </c>
      <c r="F23" s="12" t="n">
        <v>0.45</v>
      </c>
      <c r="G23" s="20" t="s">
        <v>138</v>
      </c>
    </row>
    <row r="24" customFormat="false" ht="15" hidden="false" customHeight="false" outlineLevel="0" collapsed="false">
      <c r="A24" s="18" t="s">
        <v>139</v>
      </c>
      <c r="B24" s="18" t="s">
        <v>132</v>
      </c>
      <c r="C24" s="18" t="s">
        <v>140</v>
      </c>
      <c r="D24" s="18" t="s">
        <v>103</v>
      </c>
      <c r="E24" s="19" t="n">
        <v>0.12</v>
      </c>
      <c r="F24" s="12" t="n">
        <v>2.2</v>
      </c>
      <c r="G24" s="20"/>
    </row>
    <row r="25" customFormat="false" ht="15" hidden="false" customHeight="false" outlineLevel="0" collapsed="false">
      <c r="A25" s="21" t="s">
        <v>141</v>
      </c>
      <c r="B25" s="21" t="s">
        <v>132</v>
      </c>
      <c r="C25" s="21" t="s">
        <v>142</v>
      </c>
      <c r="D25" s="21" t="s">
        <v>134</v>
      </c>
      <c r="E25" s="19" t="n">
        <v>1</v>
      </c>
      <c r="F25" s="12" t="n">
        <v>0</v>
      </c>
      <c r="G25" s="20"/>
    </row>
    <row r="26" customFormat="false" ht="15" hidden="false" customHeight="false" outlineLevel="0" collapsed="false">
      <c r="A26" s="18" t="s">
        <v>143</v>
      </c>
      <c r="B26" s="18" t="s">
        <v>132</v>
      </c>
      <c r="C26" s="18" t="s">
        <v>144</v>
      </c>
      <c r="D26" s="18" t="s">
        <v>145</v>
      </c>
      <c r="E26" s="19" t="n">
        <v>0.05</v>
      </c>
      <c r="F26" s="12" t="n">
        <v>8</v>
      </c>
      <c r="G26" s="20"/>
    </row>
    <row r="27" customFormat="false" ht="15" hidden="false" customHeight="false" outlineLevel="0" collapsed="false">
      <c r="A27" s="21" t="s">
        <v>146</v>
      </c>
      <c r="B27" s="21" t="s">
        <v>132</v>
      </c>
      <c r="C27" s="21" t="s">
        <v>147</v>
      </c>
      <c r="D27" s="21" t="s">
        <v>112</v>
      </c>
      <c r="E27" s="19" t="n">
        <v>1</v>
      </c>
      <c r="F27" s="12" t="n">
        <v>95</v>
      </c>
      <c r="G27" s="20"/>
    </row>
    <row r="29" customFormat="false" ht="15" hidden="false" customHeight="false" outlineLevel="0" collapsed="false">
      <c r="A29" s="16" t="s">
        <v>148</v>
      </c>
      <c r="B29" s="16"/>
      <c r="C29" s="16"/>
      <c r="D29" s="16"/>
      <c r="E29" s="16"/>
      <c r="F29" s="16"/>
      <c r="G29" s="16"/>
    </row>
  </sheetData>
  <mergeCells count="3">
    <mergeCell ref="A1:G1"/>
    <mergeCell ref="A2:G2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4" topLeftCell="A2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4"/>
  </cols>
  <sheetData>
    <row r="1" customFormat="false" ht="21.75" hidden="false" customHeight="true" outlineLevel="0" collapsed="false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9" t="s">
        <v>150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customFormat="false" ht="15" hidden="false" customHeight="false" outlineLevel="0" collapsed="false">
      <c r="A3" s="2" t="s">
        <v>151</v>
      </c>
      <c r="B3" s="11" t="s">
        <v>152</v>
      </c>
    </row>
    <row r="4" customFormat="false" ht="15" hidden="false" customHeight="false" outlineLevel="0" collapsed="false">
      <c r="A4" s="2" t="s">
        <v>37</v>
      </c>
      <c r="B4" s="11" t="s">
        <v>153</v>
      </c>
    </row>
    <row r="5" customFormat="false" ht="15" hidden="false" customHeight="false" outlineLevel="0" collapsed="false">
      <c r="A5" s="2" t="s">
        <v>39</v>
      </c>
      <c r="B5" s="11" t="s">
        <v>40</v>
      </c>
    </row>
    <row r="6" customFormat="false" ht="15" hidden="false" customHeight="false" outlineLevel="0" collapsed="false">
      <c r="A6" s="2" t="s">
        <v>154</v>
      </c>
      <c r="B6" s="11" t="s">
        <v>155</v>
      </c>
    </row>
    <row r="7" customFormat="false" ht="15" hidden="false" customHeight="false" outlineLevel="0" collapsed="false">
      <c r="A7" s="2" t="s">
        <v>156</v>
      </c>
      <c r="B7" s="11" t="s">
        <v>157</v>
      </c>
    </row>
    <row r="8" customFormat="false" ht="15" hidden="false" customHeight="false" outlineLevel="0" collapsed="false">
      <c r="A8" s="2" t="s">
        <v>158</v>
      </c>
      <c r="B8" s="22" t="n">
        <f aca="true">TODAY()</f>
        <v>46249</v>
      </c>
    </row>
    <row r="10" customFormat="false" ht="15" hidden="false" customHeight="false" outlineLevel="0" collapsed="false">
      <c r="A10" s="9" t="s">
        <v>159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customFormat="false" ht="15" hidden="false" customHeight="false" outlineLevel="0" collapsed="false">
      <c r="A11" s="2" t="s">
        <v>160</v>
      </c>
      <c r="B11" s="23" t="n">
        <v>45</v>
      </c>
      <c r="C11" s="24" t="s">
        <v>161</v>
      </c>
    </row>
    <row r="12" customFormat="false" ht="15" hidden="false" customHeight="false" outlineLevel="0" collapsed="false">
      <c r="A12" s="2" t="s">
        <v>162</v>
      </c>
      <c r="B12" s="23" t="n">
        <v>2.5</v>
      </c>
      <c r="C12" s="24" t="s">
        <v>163</v>
      </c>
    </row>
    <row r="13" customFormat="false" ht="15" hidden="false" customHeight="false" outlineLevel="0" collapsed="false">
      <c r="A13" s="2" t="s">
        <v>164</v>
      </c>
      <c r="B13" s="23" t="n">
        <v>2.5</v>
      </c>
      <c r="C13" s="24" t="s">
        <v>165</v>
      </c>
    </row>
    <row r="14" customFormat="false" ht="15" hidden="false" customHeight="false" outlineLevel="0" collapsed="false">
      <c r="A14" s="2" t="s">
        <v>166</v>
      </c>
      <c r="B14" s="25" t="n">
        <f aca="false">ROUND($B$11*$B$13,2)</f>
        <v>112.5</v>
      </c>
    </row>
    <row r="15" customFormat="false" ht="15" hidden="false" customHeight="false" outlineLevel="0" collapsed="false">
      <c r="A15" s="2" t="s">
        <v>167</v>
      </c>
      <c r="B15" s="23" t="n">
        <v>12</v>
      </c>
      <c r="C15" s="24" t="s">
        <v>168</v>
      </c>
    </row>
    <row r="16" customFormat="false" ht="15" hidden="false" customHeight="false" outlineLevel="0" collapsed="false">
      <c r="A16" s="2" t="s">
        <v>169</v>
      </c>
      <c r="B16" s="25" t="n">
        <f aca="false">ROUND(MAX(0,$B$14-$B$15),2)</f>
        <v>100.5</v>
      </c>
    </row>
    <row r="17" customFormat="false" ht="15" hidden="false" customHeight="false" outlineLevel="0" collapsed="false">
      <c r="A17" s="2" t="s">
        <v>170</v>
      </c>
      <c r="B17" s="25" t="n">
        <f aca="false">$B$11</f>
        <v>45</v>
      </c>
    </row>
    <row r="18" customFormat="false" ht="15" hidden="false" customHeight="false" outlineLevel="0" collapsed="false">
      <c r="A18" s="2" t="s">
        <v>171</v>
      </c>
      <c r="B18" s="25" t="n">
        <f aca="false">$B$11</f>
        <v>45</v>
      </c>
    </row>
    <row r="19" customFormat="false" ht="15" hidden="false" customHeight="false" outlineLevel="0" collapsed="false">
      <c r="A19" s="2" t="s">
        <v>172</v>
      </c>
      <c r="B19" s="15" t="n">
        <v>4</v>
      </c>
    </row>
    <row r="20" customFormat="false" ht="15" hidden="false" customHeight="false" outlineLevel="0" collapsed="false">
      <c r="A20" s="2" t="s">
        <v>173</v>
      </c>
      <c r="B20" s="14" t="n">
        <v>0.3</v>
      </c>
      <c r="C20" s="24" t="s">
        <v>174</v>
      </c>
    </row>
    <row r="21" customFormat="false" ht="15" hidden="false" customHeight="false" outlineLevel="0" collapsed="false">
      <c r="A21" s="2" t="s">
        <v>175</v>
      </c>
      <c r="B21" s="15" t="n">
        <v>40</v>
      </c>
    </row>
    <row r="23" customFormat="false" ht="15" hidden="false" customHeight="false" outlineLevel="0" collapsed="false">
      <c r="A23" s="9" t="s">
        <v>176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customFormat="false" ht="31.5" hidden="false" customHeight="true" outlineLevel="0" collapsed="false">
      <c r="A24" s="17" t="s">
        <v>177</v>
      </c>
      <c r="B24" s="17" t="s">
        <v>178</v>
      </c>
      <c r="C24" s="17" t="s">
        <v>75</v>
      </c>
      <c r="D24" s="17" t="s">
        <v>76</v>
      </c>
      <c r="E24" s="17" t="s">
        <v>179</v>
      </c>
      <c r="F24" s="17" t="s">
        <v>180</v>
      </c>
      <c r="G24" s="17" t="s">
        <v>181</v>
      </c>
      <c r="H24" s="17" t="s">
        <v>182</v>
      </c>
      <c r="I24" s="17" t="s">
        <v>183</v>
      </c>
      <c r="J24" s="17" t="s">
        <v>184</v>
      </c>
      <c r="K24" s="17" t="s">
        <v>185</v>
      </c>
      <c r="L24" s="17" t="s">
        <v>186</v>
      </c>
      <c r="M24" s="17" t="s">
        <v>187</v>
      </c>
    </row>
    <row r="25" customFormat="false" ht="15" hidden="false" customHeight="false" outlineLevel="0" collapsed="false">
      <c r="A25" s="26" t="n">
        <v>1</v>
      </c>
      <c r="B25" s="11" t="s">
        <v>110</v>
      </c>
      <c r="C25" s="27" t="str">
        <f aca="false">IFERROR(INDEX(Leistungskatalog!$C$4:$C$27,MATCH($B25,Leistungskatalog!$A$4:$A$27,0)),"")</f>
        <v>An- und Abfahrt, Rüst- und Räumzeit</v>
      </c>
      <c r="D25" s="28" t="str">
        <f aca="false">IFERROR(INDEX(Leistungskatalog!$D$4:$D$27,MATCH($B25,Leistungskatalog!$A$4:$A$27,0)),"")</f>
        <v>pausch.</v>
      </c>
      <c r="E25" s="23" t="n">
        <v>1</v>
      </c>
      <c r="F25" s="29" t="n">
        <f aca="false">IFERROR(INDEX(Leistungskatalog!$E$4:$E$27,MATCH($B25,Leistungskatalog!$A$4:$A$27,0)),0)</f>
        <v>1.5</v>
      </c>
      <c r="G25" s="25" t="n">
        <f aca="false">IF($B25="","",ROUND($E25*$F25,2))</f>
        <v>1.5</v>
      </c>
      <c r="H25" s="30" t="n">
        <f aca="false">IF($B25="","",ROUND($G25*Stammdaten!$B$14,2))</f>
        <v>63</v>
      </c>
      <c r="I25" s="31" t="n">
        <f aca="false">IFERROR(INDEX(Leistungskatalog!$F$4:$F$27,MATCH($B25,Leistungskatalog!$A$4:$A$27,0)),0)</f>
        <v>0</v>
      </c>
      <c r="J25" s="30" t="n">
        <f aca="false">IF($B25="","",ROUND($E25*$I25,2))</f>
        <v>0</v>
      </c>
      <c r="K25" s="30" t="n">
        <f aca="false">IF($B25="","",ROUND($H25*(1+Stammdaten!$B$15)+$J25*(1+Stammdaten!$B$16),2))</f>
        <v>78.75</v>
      </c>
      <c r="L25" s="30" t="n">
        <f aca="false">IF($B25="","",IFERROR(ROUND($K25*(1+Stammdaten!$B$17)*(1+Stammdaten!$B$19)/$E25,2),0))</f>
        <v>89.96</v>
      </c>
      <c r="M25" s="30" t="n">
        <f aca="false">IF($B25="","",ROUND($L25*$E25,2))</f>
        <v>89.96</v>
      </c>
    </row>
    <row r="26" customFormat="false" ht="15" hidden="false" customHeight="false" outlineLevel="0" collapsed="false">
      <c r="A26" s="32" t="n">
        <v>2</v>
      </c>
      <c r="B26" s="11" t="s">
        <v>80</v>
      </c>
      <c r="C26" s="33" t="str">
        <f aca="false">IFERROR(INDEX(Leistungskatalog!$C$4:$C$27,MATCH($B26,Leistungskatalog!$A$4:$A$27,0)),"")</f>
        <v>Böden und Mobiliar abdecken, Kanten abkleben</v>
      </c>
      <c r="D26" s="34" t="str">
        <f aca="false">IFERROR(INDEX(Leistungskatalog!$D$4:$D$27,MATCH($B26,Leistungskatalog!$A$4:$A$27,0)),"")</f>
        <v>m²</v>
      </c>
      <c r="E26" s="23" t="n">
        <f aca="false">$B$18</f>
        <v>45</v>
      </c>
      <c r="F26" s="35" t="n">
        <f aca="false">IFERROR(INDEX(Leistungskatalog!$E$4:$E$27,MATCH($B26,Leistungskatalog!$A$4:$A$27,0)),0)</f>
        <v>0.05</v>
      </c>
      <c r="G26" s="36" t="n">
        <f aca="false">IF($B26="","",ROUND($E26*$F26,2))</f>
        <v>2.25</v>
      </c>
      <c r="H26" s="37" t="n">
        <f aca="false">IF($B26="","",ROUND($G26*Stammdaten!$B$14,2))</f>
        <v>94.5</v>
      </c>
      <c r="I26" s="38" t="n">
        <f aca="false">IFERROR(INDEX(Leistungskatalog!$F$4:$F$27,MATCH($B26,Leistungskatalog!$A$4:$A$27,0)),0)</f>
        <v>0.35</v>
      </c>
      <c r="J26" s="37" t="n">
        <f aca="false">IF($B26="","",ROUND($E26*$I26,2))</f>
        <v>15.75</v>
      </c>
      <c r="K26" s="37" t="n">
        <f aca="false">IF($B26="","",ROUND($H26*(1+Stammdaten!$B$15)+$J26*(1+Stammdaten!$B$16),2))</f>
        <v>135.45</v>
      </c>
      <c r="L26" s="37" t="n">
        <f aca="false">IF($B26="","",IFERROR(ROUND($K26*(1+Stammdaten!$B$17)*(1+Stammdaten!$B$19)/$E26,2),0))</f>
        <v>3.44</v>
      </c>
      <c r="M26" s="37" t="n">
        <f aca="false">IF($B26="","",ROUND($L26*$E26,2))</f>
        <v>154.8</v>
      </c>
    </row>
    <row r="27" customFormat="false" ht="15" hidden="false" customHeight="false" outlineLevel="0" collapsed="false">
      <c r="A27" s="26" t="n">
        <v>3</v>
      </c>
      <c r="B27" s="11" t="s">
        <v>85</v>
      </c>
      <c r="C27" s="27" t="str">
        <f aca="false">IFERROR(INDEX(Leistungskatalog!$C$4:$C$27,MATCH($B27,Leistungskatalog!$A$4:$A$27,0)),"")</f>
        <v>Untergrund reinigen und vorbereiten</v>
      </c>
      <c r="D27" s="28" t="str">
        <f aca="false">IFERROR(INDEX(Leistungskatalog!$D$4:$D$27,MATCH($B27,Leistungskatalog!$A$4:$A$27,0)),"")</f>
        <v>m²</v>
      </c>
      <c r="E27" s="23" t="n">
        <f aca="false">$B$16+$B$17</f>
        <v>145.5</v>
      </c>
      <c r="F27" s="29" t="n">
        <f aca="false">IFERROR(INDEX(Leistungskatalog!$E$4:$E$27,MATCH($B27,Leistungskatalog!$A$4:$A$27,0)),0)</f>
        <v>0.04</v>
      </c>
      <c r="G27" s="25" t="n">
        <f aca="false">IF($B27="","",ROUND($E27*$F27,2))</f>
        <v>5.82</v>
      </c>
      <c r="H27" s="30" t="n">
        <f aca="false">IF($B27="","",ROUND($G27*Stammdaten!$B$14,2))</f>
        <v>244.44</v>
      </c>
      <c r="I27" s="31" t="n">
        <f aca="false">IFERROR(INDEX(Leistungskatalog!$F$4:$F$27,MATCH($B27,Leistungskatalog!$A$4:$A$27,0)),0)</f>
        <v>0.1</v>
      </c>
      <c r="J27" s="30" t="n">
        <f aca="false">IF($B27="","",ROUND($E27*$I27,2))</f>
        <v>14.55</v>
      </c>
      <c r="K27" s="30" t="n">
        <f aca="false">IF($B27="","",ROUND($H27*(1+Stammdaten!$B$15)+$J27*(1+Stammdaten!$B$16),2))</f>
        <v>321.56</v>
      </c>
      <c r="L27" s="30" t="n">
        <f aca="false">IF($B27="","",IFERROR(ROUND($K27*(1+Stammdaten!$B$17)*(1+Stammdaten!$B$19)/$E27,2),0))</f>
        <v>2.52</v>
      </c>
      <c r="M27" s="30" t="n">
        <f aca="false">IF($B27="","",ROUND($L27*$E27,2))</f>
        <v>366.66</v>
      </c>
    </row>
    <row r="28" customFormat="false" ht="15" hidden="false" customHeight="false" outlineLevel="0" collapsed="false">
      <c r="A28" s="32" t="n">
        <v>4</v>
      </c>
      <c r="B28" s="11" t="s">
        <v>87</v>
      </c>
      <c r="C28" s="33" t="str">
        <f aca="false">IFERROR(INDEX(Leistungskatalog!$C$4:$C$27,MATCH($B28,Leistungskatalog!$A$4:$A$27,0)),"")</f>
        <v>Risse und Löcher spachteln, schleifen</v>
      </c>
      <c r="D28" s="34" t="str">
        <f aca="false">IFERROR(INDEX(Leistungskatalog!$D$4:$D$27,MATCH($B28,Leistungskatalog!$A$4:$A$27,0)),"")</f>
        <v>m²</v>
      </c>
      <c r="E28" s="23" t="n">
        <f aca="false">ROUND(($B$16+$B$17)*$B$20,1)</f>
        <v>43.7</v>
      </c>
      <c r="F28" s="35" t="n">
        <f aca="false">IFERROR(INDEX(Leistungskatalog!$E$4:$E$27,MATCH($B28,Leistungskatalog!$A$4:$A$27,0)),0)</f>
        <v>0.06</v>
      </c>
      <c r="G28" s="36" t="n">
        <f aca="false">IF($B28="","",ROUND($E28*$F28,2))</f>
        <v>2.62</v>
      </c>
      <c r="H28" s="37" t="n">
        <f aca="false">IF($B28="","",ROUND($G28*Stammdaten!$B$14,2))</f>
        <v>110.04</v>
      </c>
      <c r="I28" s="38" t="n">
        <f aca="false">IFERROR(INDEX(Leistungskatalog!$F$4:$F$27,MATCH($B28,Leistungskatalog!$A$4:$A$27,0)),0)</f>
        <v>0.45</v>
      </c>
      <c r="J28" s="37" t="n">
        <f aca="false">IF($B28="","",ROUND($E28*$I28,2))</f>
        <v>19.67</v>
      </c>
      <c r="K28" s="37" t="n">
        <f aca="false">IF($B28="","",ROUND($H28*(1+Stammdaten!$B$15)+$J28*(1+Stammdaten!$B$16),2))</f>
        <v>159.19</v>
      </c>
      <c r="L28" s="37" t="n">
        <f aca="false">IF($B28="","",IFERROR(ROUND($K28*(1+Stammdaten!$B$17)*(1+Stammdaten!$B$19)/$E28,2),0))</f>
        <v>4.16</v>
      </c>
      <c r="M28" s="37" t="n">
        <f aca="false">IF($B28="","",ROUND($L28*$E28,2))</f>
        <v>181.79</v>
      </c>
    </row>
    <row r="29" customFormat="false" ht="15" hidden="false" customHeight="false" outlineLevel="0" collapsed="false">
      <c r="A29" s="26" t="n">
        <v>5</v>
      </c>
      <c r="B29" s="11" t="s">
        <v>90</v>
      </c>
      <c r="C29" s="27" t="str">
        <f aca="false">IFERROR(INDEX(Leistungskatalog!$C$4:$C$27,MATCH($B29,Leistungskatalog!$A$4:$A$27,0)),"")</f>
        <v>Tiefengrund / Haftgrund auftragen</v>
      </c>
      <c r="D29" s="28" t="str">
        <f aca="false">IFERROR(INDEX(Leistungskatalog!$D$4:$D$27,MATCH($B29,Leistungskatalog!$A$4:$A$27,0)),"")</f>
        <v>m²</v>
      </c>
      <c r="E29" s="23" t="n">
        <f aca="false">$B$16+$B$17</f>
        <v>145.5</v>
      </c>
      <c r="F29" s="29" t="n">
        <f aca="false">IFERROR(INDEX(Leistungskatalog!$E$4:$E$27,MATCH($B29,Leistungskatalog!$A$4:$A$27,0)),0)</f>
        <v>0.03</v>
      </c>
      <c r="G29" s="25" t="n">
        <f aca="false">IF($B29="","",ROUND($E29*$F29,2))</f>
        <v>4.37</v>
      </c>
      <c r="H29" s="30" t="n">
        <f aca="false">IF($B29="","",ROUND($G29*Stammdaten!$B$14,2))</f>
        <v>183.54</v>
      </c>
      <c r="I29" s="31" t="n">
        <f aca="false">IFERROR(INDEX(Leistungskatalog!$F$4:$F$27,MATCH($B29,Leistungskatalog!$A$4:$A$27,0)),0)</f>
        <v>0.55</v>
      </c>
      <c r="J29" s="30" t="n">
        <f aca="false">IF($B29="","",ROUND($E29*$I29,2))</f>
        <v>80.03</v>
      </c>
      <c r="K29" s="30" t="n">
        <f aca="false">IF($B29="","",ROUND($H29*(1+Stammdaten!$B$15)+$J29*(1+Stammdaten!$B$16),2))</f>
        <v>317.46</v>
      </c>
      <c r="L29" s="30" t="n">
        <f aca="false">IF($B29="","",IFERROR(ROUND($K29*(1+Stammdaten!$B$17)*(1+Stammdaten!$B$19)/$E29,2),0))</f>
        <v>2.49</v>
      </c>
      <c r="M29" s="30" t="n">
        <f aca="false">IF($B29="","",ROUND($L29*$E29,2))</f>
        <v>362.3</v>
      </c>
    </row>
    <row r="30" customFormat="false" ht="15" hidden="false" customHeight="false" outlineLevel="0" collapsed="false">
      <c r="A30" s="32" t="n">
        <v>6</v>
      </c>
      <c r="B30" s="11" t="s">
        <v>92</v>
      </c>
      <c r="C30" s="33" t="str">
        <f aca="false">IFERROR(INDEX(Leistungskatalog!$C$4:$C$27,MATCH($B30,Leistungskatalog!$A$4:$A$27,0)),"")</f>
        <v>Wände streichen, 2 Anstriche Dispersion</v>
      </c>
      <c r="D30" s="34" t="str">
        <f aca="false">IFERROR(INDEX(Leistungskatalog!$D$4:$D$27,MATCH($B30,Leistungskatalog!$A$4:$A$27,0)),"")</f>
        <v>m²</v>
      </c>
      <c r="E30" s="23" t="n">
        <f aca="false">$B$16</f>
        <v>100.5</v>
      </c>
      <c r="F30" s="35" t="n">
        <f aca="false">IFERROR(INDEX(Leistungskatalog!$E$4:$E$27,MATCH($B30,Leistungskatalog!$A$4:$A$27,0)),0)</f>
        <v>0.12</v>
      </c>
      <c r="G30" s="36" t="n">
        <f aca="false">IF($B30="","",ROUND($E30*$F30,2))</f>
        <v>12.06</v>
      </c>
      <c r="H30" s="37" t="n">
        <f aca="false">IF($B30="","",ROUND($G30*Stammdaten!$B$14,2))</f>
        <v>506.52</v>
      </c>
      <c r="I30" s="38" t="n">
        <f aca="false">IFERROR(INDEX(Leistungskatalog!$F$4:$F$27,MATCH($B30,Leistungskatalog!$A$4:$A$27,0)),0)</f>
        <v>1.25</v>
      </c>
      <c r="J30" s="37" t="n">
        <f aca="false">IF($B30="","",ROUND($E30*$I30,2))</f>
        <v>125.63</v>
      </c>
      <c r="K30" s="37" t="n">
        <f aca="false">IF($B30="","",ROUND($H30*(1+Stammdaten!$B$15)+$J30*(1+Stammdaten!$B$16),2))</f>
        <v>771.34</v>
      </c>
      <c r="L30" s="37" t="n">
        <f aca="false">IF($B30="","",IFERROR(ROUND($K30*(1+Stammdaten!$B$17)*(1+Stammdaten!$B$19)/$E30,2),0))</f>
        <v>8.77</v>
      </c>
      <c r="M30" s="37" t="n">
        <f aca="false">IF($B30="","",ROUND($L30*$E30,2))</f>
        <v>881.39</v>
      </c>
    </row>
    <row r="31" customFormat="false" ht="15" hidden="false" customHeight="false" outlineLevel="0" collapsed="false">
      <c r="A31" s="26" t="n">
        <v>7</v>
      </c>
      <c r="B31" s="11" t="s">
        <v>95</v>
      </c>
      <c r="C31" s="27" t="str">
        <f aca="false">IFERROR(INDEX(Leistungskatalog!$C$4:$C$27,MATCH($B31,Leistungskatalog!$A$4:$A$27,0)),"")</f>
        <v>Decken streichen, 2 Anstriche Dispersion</v>
      </c>
      <c r="D31" s="28" t="str">
        <f aca="false">IFERROR(INDEX(Leistungskatalog!$D$4:$D$27,MATCH($B31,Leistungskatalog!$A$4:$A$27,0)),"")</f>
        <v>m²</v>
      </c>
      <c r="E31" s="23" t="n">
        <f aca="false">$B$17</f>
        <v>45</v>
      </c>
      <c r="F31" s="29" t="n">
        <f aca="false">IFERROR(INDEX(Leistungskatalog!$E$4:$E$27,MATCH($B31,Leistungskatalog!$A$4:$A$27,0)),0)</f>
        <v>0.15</v>
      </c>
      <c r="G31" s="25" t="n">
        <f aca="false">IF($B31="","",ROUND($E31*$F31,2))</f>
        <v>6.75</v>
      </c>
      <c r="H31" s="30" t="n">
        <f aca="false">IF($B31="","",ROUND($G31*Stammdaten!$B$14,2))</f>
        <v>283.5</v>
      </c>
      <c r="I31" s="31" t="n">
        <f aca="false">IFERROR(INDEX(Leistungskatalog!$F$4:$F$27,MATCH($B31,Leistungskatalog!$A$4:$A$27,0)),0)</f>
        <v>1.25</v>
      </c>
      <c r="J31" s="30" t="n">
        <f aca="false">IF($B31="","",ROUND($E31*$I31,2))</f>
        <v>56.25</v>
      </c>
      <c r="K31" s="30" t="n">
        <f aca="false">IF($B31="","",ROUND($H31*(1+Stammdaten!$B$15)+$J31*(1+Stammdaten!$B$16),2))</f>
        <v>416.25</v>
      </c>
      <c r="L31" s="30" t="n">
        <f aca="false">IF($B31="","",IFERROR(ROUND($K31*(1+Stammdaten!$B$17)*(1+Stammdaten!$B$19)/$E31,2),0))</f>
        <v>10.57</v>
      </c>
      <c r="M31" s="30" t="n">
        <f aca="false">IF($B31="","",ROUND($L31*$E31,2))</f>
        <v>475.65</v>
      </c>
    </row>
    <row r="32" customFormat="false" ht="15" hidden="false" customHeight="false" outlineLevel="0" collapsed="false">
      <c r="A32" s="32" t="n">
        <v>8</v>
      </c>
      <c r="B32" s="11" t="s">
        <v>104</v>
      </c>
      <c r="C32" s="33" t="str">
        <f aca="false">IFERROR(INDEX(Leistungskatalog!$C$4:$C$27,MATCH($B32,Leistungskatalog!$A$4:$A$27,0)),"")</f>
        <v>Türzarge lackieren</v>
      </c>
      <c r="D32" s="34" t="str">
        <f aca="false">IFERROR(INDEX(Leistungskatalog!$D$4:$D$27,MATCH($B32,Leistungskatalog!$A$4:$A$27,0)),"")</f>
        <v>Stk</v>
      </c>
      <c r="E32" s="23" t="n">
        <f aca="false">$B$19</f>
        <v>4</v>
      </c>
      <c r="F32" s="35" t="n">
        <f aca="false">IFERROR(INDEX(Leistungskatalog!$E$4:$E$27,MATCH($B32,Leistungskatalog!$A$4:$A$27,0)),0)</f>
        <v>0.8</v>
      </c>
      <c r="G32" s="36" t="n">
        <f aca="false">IF($B32="","",ROUND($E32*$F32,2))</f>
        <v>3.2</v>
      </c>
      <c r="H32" s="37" t="n">
        <f aca="false">IF($B32="","",ROUND($G32*Stammdaten!$B$14,2))</f>
        <v>134.4</v>
      </c>
      <c r="I32" s="38" t="n">
        <f aca="false">IFERROR(INDEX(Leistungskatalog!$F$4:$F$27,MATCH($B32,Leistungskatalog!$A$4:$A$27,0)),0)</f>
        <v>7.5</v>
      </c>
      <c r="J32" s="37" t="n">
        <f aca="false">IF($B32="","",ROUND($E32*$I32,2))</f>
        <v>30</v>
      </c>
      <c r="K32" s="37" t="n">
        <f aca="false">IF($B32="","",ROUND($H32*(1+Stammdaten!$B$15)+$J32*(1+Stammdaten!$B$16),2))</f>
        <v>201</v>
      </c>
      <c r="L32" s="37" t="n">
        <f aca="false">IF($B32="","",IFERROR(ROUND($K32*(1+Stammdaten!$B$17)*(1+Stammdaten!$B$19)/$E32,2),0))</f>
        <v>57.41</v>
      </c>
      <c r="M32" s="37" t="n">
        <f aca="false">IF($B32="","",ROUND($L32*$E32,2))</f>
        <v>229.64</v>
      </c>
    </row>
    <row r="33" customFormat="false" ht="15" hidden="false" customHeight="false" outlineLevel="0" collapsed="false">
      <c r="A33" s="26" t="n">
        <v>9</v>
      </c>
      <c r="B33" s="11" t="s">
        <v>101</v>
      </c>
      <c r="C33" s="27" t="str">
        <f aca="false">IFERROR(INDEX(Leistungskatalog!$C$4:$C$27,MATCH($B33,Leistungskatalog!$A$4:$A$27,0)),"")</f>
        <v>Türblatt lackieren, beidseitig</v>
      </c>
      <c r="D33" s="28" t="str">
        <f aca="false">IFERROR(INDEX(Leistungskatalog!$D$4:$D$27,MATCH($B33,Leistungskatalog!$A$4:$A$27,0)),"")</f>
        <v>Stk</v>
      </c>
      <c r="E33" s="23" t="n">
        <f aca="false">$B$19</f>
        <v>4</v>
      </c>
      <c r="F33" s="29" t="n">
        <f aca="false">IFERROR(INDEX(Leistungskatalog!$E$4:$E$27,MATCH($B33,Leistungskatalog!$A$4:$A$27,0)),0)</f>
        <v>1.2</v>
      </c>
      <c r="G33" s="25" t="n">
        <f aca="false">IF($B33="","",ROUND($E33*$F33,2))</f>
        <v>4.8</v>
      </c>
      <c r="H33" s="30" t="n">
        <f aca="false">IF($B33="","",ROUND($G33*Stammdaten!$B$14,2))</f>
        <v>201.6</v>
      </c>
      <c r="I33" s="31" t="n">
        <f aca="false">IFERROR(INDEX(Leistungskatalog!$F$4:$F$27,MATCH($B33,Leistungskatalog!$A$4:$A$27,0)),0)</f>
        <v>12</v>
      </c>
      <c r="J33" s="30" t="n">
        <f aca="false">IF($B33="","",ROUND($E33*$I33,2))</f>
        <v>48</v>
      </c>
      <c r="K33" s="30" t="n">
        <f aca="false">IF($B33="","",ROUND($H33*(1+Stammdaten!$B$15)+$J33*(1+Stammdaten!$B$16),2))</f>
        <v>304.8</v>
      </c>
      <c r="L33" s="30" t="n">
        <f aca="false">IF($B33="","",IFERROR(ROUND($K33*(1+Stammdaten!$B$17)*(1+Stammdaten!$B$19)/$E33,2),0))</f>
        <v>87.05</v>
      </c>
      <c r="M33" s="30" t="n">
        <f aca="false">IF($B33="","",ROUND($L33*$E33,2))</f>
        <v>348.2</v>
      </c>
    </row>
    <row r="34" customFormat="false" ht="15" hidden="false" customHeight="false" outlineLevel="0" collapsed="false">
      <c r="A34" s="32" t="n">
        <v>10</v>
      </c>
      <c r="B34" s="11" t="s">
        <v>106</v>
      </c>
      <c r="C34" s="33" t="str">
        <f aca="false">IFERROR(INDEX(Leistungskatalog!$C$4:$C$27,MATCH($B34,Leistungskatalog!$A$4:$A$27,0)),"")</f>
        <v>Endreinigung und Abfallentsorgung</v>
      </c>
      <c r="D34" s="34" t="str">
        <f aca="false">IFERROR(INDEX(Leistungskatalog!$D$4:$D$27,MATCH($B34,Leistungskatalog!$A$4:$A$27,0)),"")</f>
        <v>m²</v>
      </c>
      <c r="E34" s="23" t="n">
        <f aca="false">$B$18</f>
        <v>45</v>
      </c>
      <c r="F34" s="35" t="n">
        <f aca="false">IFERROR(INDEX(Leistungskatalog!$E$4:$E$27,MATCH($B34,Leistungskatalog!$A$4:$A$27,0)),0)</f>
        <v>0.04</v>
      </c>
      <c r="G34" s="36" t="n">
        <f aca="false">IF($B34="","",ROUND($E34*$F34,2))</f>
        <v>1.8</v>
      </c>
      <c r="H34" s="37" t="n">
        <f aca="false">IF($B34="","",ROUND($G34*Stammdaten!$B$14,2))</f>
        <v>75.6</v>
      </c>
      <c r="I34" s="38" t="n">
        <f aca="false">IFERROR(INDEX(Leistungskatalog!$F$4:$F$27,MATCH($B34,Leistungskatalog!$A$4:$A$27,0)),0)</f>
        <v>0.25</v>
      </c>
      <c r="J34" s="37" t="n">
        <f aca="false">IF($B34="","",ROUND($E34*$I34,2))</f>
        <v>11.25</v>
      </c>
      <c r="K34" s="37" t="n">
        <f aca="false">IF($B34="","",ROUND($H34*(1+Stammdaten!$B$15)+$J34*(1+Stammdaten!$B$16),2))</f>
        <v>106.88</v>
      </c>
      <c r="L34" s="37" t="n">
        <f aca="false">IF($B34="","",IFERROR(ROUND($K34*(1+Stammdaten!$B$17)*(1+Stammdaten!$B$19)/$E34,2),0))</f>
        <v>2.71</v>
      </c>
      <c r="M34" s="37" t="n">
        <f aca="false">IF($B34="","",ROUND($L34*$E34,2))</f>
        <v>121.95</v>
      </c>
    </row>
    <row r="35" customFormat="false" ht="15" hidden="false" customHeight="false" outlineLevel="0" collapsed="false">
      <c r="A35" s="26" t="n">
        <v>11</v>
      </c>
      <c r="B35" s="11"/>
      <c r="C35" s="27" t="str">
        <f aca="false">IFERROR(INDEX(Leistungskatalog!$C$4:$C$27,MATCH($B35,Leistungskatalog!$A$4:$A$27,0)),"")</f>
        <v/>
      </c>
      <c r="D35" s="28" t="str">
        <f aca="false">IFERROR(INDEX(Leistungskatalog!$D$4:$D$27,MATCH($B35,Leistungskatalog!$A$4:$A$27,0)),"")</f>
        <v/>
      </c>
      <c r="E35" s="23"/>
      <c r="F35" s="29" t="n">
        <f aca="false">IFERROR(INDEX(Leistungskatalog!$E$4:$E$27,MATCH($B35,Leistungskatalog!$A$4:$A$27,0)),0)</f>
        <v>0</v>
      </c>
      <c r="G35" s="25" t="str">
        <f aca="false">IF($B35="","",ROUND($E35*$F35,2))</f>
        <v/>
      </c>
      <c r="H35" s="30" t="str">
        <f aca="false">IF($B35="","",ROUND($G35*Stammdaten!$B$14,2))</f>
        <v/>
      </c>
      <c r="I35" s="31" t="n">
        <f aca="false">IFERROR(INDEX(Leistungskatalog!$F$4:$F$27,MATCH($B35,Leistungskatalog!$A$4:$A$27,0)),0)</f>
        <v>0</v>
      </c>
      <c r="J35" s="30" t="str">
        <f aca="false">IF($B35="","",ROUND($E35*$I35,2))</f>
        <v/>
      </c>
      <c r="K35" s="30" t="str">
        <f aca="false">IF($B35="","",ROUND($H35*(1+Stammdaten!$B$15)+$J35*(1+Stammdaten!$B$16),2))</f>
        <v/>
      </c>
      <c r="L35" s="30" t="str">
        <f aca="false">IF($B35="","",IFERROR(ROUND($K35*(1+Stammdaten!$B$17)*(1+Stammdaten!$B$19)/$E35,2),0))</f>
        <v/>
      </c>
      <c r="M35" s="30" t="str">
        <f aca="false">IF($B35="","",ROUND($L35*$E35,2))</f>
        <v/>
      </c>
    </row>
    <row r="36" customFormat="false" ht="15" hidden="false" customHeight="false" outlineLevel="0" collapsed="false">
      <c r="A36" s="32" t="n">
        <v>12</v>
      </c>
      <c r="B36" s="11"/>
      <c r="C36" s="33" t="str">
        <f aca="false">IFERROR(INDEX(Leistungskatalog!$C$4:$C$27,MATCH($B36,Leistungskatalog!$A$4:$A$27,0)),"")</f>
        <v/>
      </c>
      <c r="D36" s="34" t="str">
        <f aca="false">IFERROR(INDEX(Leistungskatalog!$D$4:$D$27,MATCH($B36,Leistungskatalog!$A$4:$A$27,0)),"")</f>
        <v/>
      </c>
      <c r="E36" s="23"/>
      <c r="F36" s="35" t="n">
        <f aca="false">IFERROR(INDEX(Leistungskatalog!$E$4:$E$27,MATCH($B36,Leistungskatalog!$A$4:$A$27,0)),0)</f>
        <v>0</v>
      </c>
      <c r="G36" s="36" t="str">
        <f aca="false">IF($B36="","",ROUND($E36*$F36,2))</f>
        <v/>
      </c>
      <c r="H36" s="37" t="str">
        <f aca="false">IF($B36="","",ROUND($G36*Stammdaten!$B$14,2))</f>
        <v/>
      </c>
      <c r="I36" s="38" t="n">
        <f aca="false">IFERROR(INDEX(Leistungskatalog!$F$4:$F$27,MATCH($B36,Leistungskatalog!$A$4:$A$27,0)),0)</f>
        <v>0</v>
      </c>
      <c r="J36" s="37" t="str">
        <f aca="false">IF($B36="","",ROUND($E36*$I36,2))</f>
        <v/>
      </c>
      <c r="K36" s="37" t="str">
        <f aca="false">IF($B36="","",ROUND($H36*(1+Stammdaten!$B$15)+$J36*(1+Stammdaten!$B$16),2))</f>
        <v/>
      </c>
      <c r="L36" s="37" t="str">
        <f aca="false">IF($B36="","",IFERROR(ROUND($K36*(1+Stammdaten!$B$17)*(1+Stammdaten!$B$19)/$E36,2),0))</f>
        <v/>
      </c>
      <c r="M36" s="37" t="str">
        <f aca="false">IF($B36="","",ROUND($L36*$E36,2))</f>
        <v/>
      </c>
    </row>
    <row r="37" customFormat="false" ht="15" hidden="false" customHeight="false" outlineLevel="0" collapsed="false">
      <c r="A37" s="26" t="n">
        <v>13</v>
      </c>
      <c r="B37" s="11"/>
      <c r="C37" s="27" t="str">
        <f aca="false">IFERROR(INDEX(Leistungskatalog!$C$4:$C$27,MATCH($B37,Leistungskatalog!$A$4:$A$27,0)),"")</f>
        <v/>
      </c>
      <c r="D37" s="28" t="str">
        <f aca="false">IFERROR(INDEX(Leistungskatalog!$D$4:$D$27,MATCH($B37,Leistungskatalog!$A$4:$A$27,0)),"")</f>
        <v/>
      </c>
      <c r="E37" s="23"/>
      <c r="F37" s="29" t="n">
        <f aca="false">IFERROR(INDEX(Leistungskatalog!$E$4:$E$27,MATCH($B37,Leistungskatalog!$A$4:$A$27,0)),0)</f>
        <v>0</v>
      </c>
      <c r="G37" s="25" t="str">
        <f aca="false">IF($B37="","",ROUND($E37*$F37,2))</f>
        <v/>
      </c>
      <c r="H37" s="30" t="str">
        <f aca="false">IF($B37="","",ROUND($G37*Stammdaten!$B$14,2))</f>
        <v/>
      </c>
      <c r="I37" s="31" t="n">
        <f aca="false">IFERROR(INDEX(Leistungskatalog!$F$4:$F$27,MATCH($B37,Leistungskatalog!$A$4:$A$27,0)),0)</f>
        <v>0</v>
      </c>
      <c r="J37" s="30" t="str">
        <f aca="false">IF($B37="","",ROUND($E37*$I37,2))</f>
        <v/>
      </c>
      <c r="K37" s="30" t="str">
        <f aca="false">IF($B37="","",ROUND($H37*(1+Stammdaten!$B$15)+$J37*(1+Stammdaten!$B$16),2))</f>
        <v/>
      </c>
      <c r="L37" s="30" t="str">
        <f aca="false">IF($B37="","",IFERROR(ROUND($K37*(1+Stammdaten!$B$17)*(1+Stammdaten!$B$19)/$E37,2),0))</f>
        <v/>
      </c>
      <c r="M37" s="30" t="str">
        <f aca="false">IF($B37="","",ROUND($L37*$E37,2))</f>
        <v/>
      </c>
    </row>
    <row r="38" customFormat="false" ht="15" hidden="false" customHeight="false" outlineLevel="0" collapsed="false">
      <c r="A38" s="32" t="n">
        <v>14</v>
      </c>
      <c r="B38" s="11"/>
      <c r="C38" s="33" t="str">
        <f aca="false">IFERROR(INDEX(Leistungskatalog!$C$4:$C$27,MATCH($B38,Leistungskatalog!$A$4:$A$27,0)),"")</f>
        <v/>
      </c>
      <c r="D38" s="34" t="str">
        <f aca="false">IFERROR(INDEX(Leistungskatalog!$D$4:$D$27,MATCH($B38,Leistungskatalog!$A$4:$A$27,0)),"")</f>
        <v/>
      </c>
      <c r="E38" s="23"/>
      <c r="F38" s="35" t="n">
        <f aca="false">IFERROR(INDEX(Leistungskatalog!$E$4:$E$27,MATCH($B38,Leistungskatalog!$A$4:$A$27,0)),0)</f>
        <v>0</v>
      </c>
      <c r="G38" s="36" t="str">
        <f aca="false">IF($B38="","",ROUND($E38*$F38,2))</f>
        <v/>
      </c>
      <c r="H38" s="37" t="str">
        <f aca="false">IF($B38="","",ROUND($G38*Stammdaten!$B$14,2))</f>
        <v/>
      </c>
      <c r="I38" s="38" t="n">
        <f aca="false">IFERROR(INDEX(Leistungskatalog!$F$4:$F$27,MATCH($B38,Leistungskatalog!$A$4:$A$27,0)),0)</f>
        <v>0</v>
      </c>
      <c r="J38" s="37" t="str">
        <f aca="false">IF($B38="","",ROUND($E38*$I38,2))</f>
        <v/>
      </c>
      <c r="K38" s="37" t="str">
        <f aca="false">IF($B38="","",ROUND($H38*(1+Stammdaten!$B$15)+$J38*(1+Stammdaten!$B$16),2))</f>
        <v/>
      </c>
      <c r="L38" s="37" t="str">
        <f aca="false">IF($B38="","",IFERROR(ROUND($K38*(1+Stammdaten!$B$17)*(1+Stammdaten!$B$19)/$E38,2),0))</f>
        <v/>
      </c>
      <c r="M38" s="37" t="str">
        <f aca="false">IF($B38="","",ROUND($L38*$E38,2))</f>
        <v/>
      </c>
    </row>
    <row r="39" customFormat="false" ht="15" hidden="false" customHeight="false" outlineLevel="0" collapsed="false">
      <c r="A39" s="26" t="n">
        <v>15</v>
      </c>
      <c r="B39" s="11"/>
      <c r="C39" s="27" t="str">
        <f aca="false">IFERROR(INDEX(Leistungskatalog!$C$4:$C$27,MATCH($B39,Leistungskatalog!$A$4:$A$27,0)),"")</f>
        <v/>
      </c>
      <c r="D39" s="28" t="str">
        <f aca="false">IFERROR(INDEX(Leistungskatalog!$D$4:$D$27,MATCH($B39,Leistungskatalog!$A$4:$A$27,0)),"")</f>
        <v/>
      </c>
      <c r="E39" s="23"/>
      <c r="F39" s="29" t="n">
        <f aca="false">IFERROR(INDEX(Leistungskatalog!$E$4:$E$27,MATCH($B39,Leistungskatalog!$A$4:$A$27,0)),0)</f>
        <v>0</v>
      </c>
      <c r="G39" s="25" t="str">
        <f aca="false">IF($B39="","",ROUND($E39*$F39,2))</f>
        <v/>
      </c>
      <c r="H39" s="30" t="str">
        <f aca="false">IF($B39="","",ROUND($G39*Stammdaten!$B$14,2))</f>
        <v/>
      </c>
      <c r="I39" s="31" t="n">
        <f aca="false">IFERROR(INDEX(Leistungskatalog!$F$4:$F$27,MATCH($B39,Leistungskatalog!$A$4:$A$27,0)),0)</f>
        <v>0</v>
      </c>
      <c r="J39" s="30" t="str">
        <f aca="false">IF($B39="","",ROUND($E39*$I39,2))</f>
        <v/>
      </c>
      <c r="K39" s="30" t="str">
        <f aca="false">IF($B39="","",ROUND($H39*(1+Stammdaten!$B$15)+$J39*(1+Stammdaten!$B$16),2))</f>
        <v/>
      </c>
      <c r="L39" s="30" t="str">
        <f aca="false">IF($B39="","",IFERROR(ROUND($K39*(1+Stammdaten!$B$17)*(1+Stammdaten!$B$19)/$E39,2),0))</f>
        <v/>
      </c>
      <c r="M39" s="30" t="str">
        <f aca="false">IF($B39="","",ROUND($L39*$E39,2))</f>
        <v/>
      </c>
    </row>
    <row r="40" customFormat="false" ht="15" hidden="false" customHeight="false" outlineLevel="0" collapsed="false">
      <c r="A40" s="32" t="n">
        <v>16</v>
      </c>
      <c r="B40" s="11"/>
      <c r="C40" s="33" t="str">
        <f aca="false">IFERROR(INDEX(Leistungskatalog!$C$4:$C$27,MATCH($B40,Leistungskatalog!$A$4:$A$27,0)),"")</f>
        <v/>
      </c>
      <c r="D40" s="34" t="str">
        <f aca="false">IFERROR(INDEX(Leistungskatalog!$D$4:$D$27,MATCH($B40,Leistungskatalog!$A$4:$A$27,0)),"")</f>
        <v/>
      </c>
      <c r="E40" s="23"/>
      <c r="F40" s="35" t="n">
        <f aca="false">IFERROR(INDEX(Leistungskatalog!$E$4:$E$27,MATCH($B40,Leistungskatalog!$A$4:$A$27,0)),0)</f>
        <v>0</v>
      </c>
      <c r="G40" s="36" t="str">
        <f aca="false">IF($B40="","",ROUND($E40*$F40,2))</f>
        <v/>
      </c>
      <c r="H40" s="37" t="str">
        <f aca="false">IF($B40="","",ROUND($G40*Stammdaten!$B$14,2))</f>
        <v/>
      </c>
      <c r="I40" s="38" t="n">
        <f aca="false">IFERROR(INDEX(Leistungskatalog!$F$4:$F$27,MATCH($B40,Leistungskatalog!$A$4:$A$27,0)),0)</f>
        <v>0</v>
      </c>
      <c r="J40" s="37" t="str">
        <f aca="false">IF($B40="","",ROUND($E40*$I40,2))</f>
        <v/>
      </c>
      <c r="K40" s="37" t="str">
        <f aca="false">IF($B40="","",ROUND($H40*(1+Stammdaten!$B$15)+$J40*(1+Stammdaten!$B$16),2))</f>
        <v/>
      </c>
      <c r="L40" s="37" t="str">
        <f aca="false">IF($B40="","",IFERROR(ROUND($K40*(1+Stammdaten!$B$17)*(1+Stammdaten!$B$19)/$E40,2),0))</f>
        <v/>
      </c>
      <c r="M40" s="37" t="str">
        <f aca="false">IF($B40="","",ROUND($L40*$E40,2))</f>
        <v/>
      </c>
    </row>
    <row r="41" customFormat="false" ht="15" hidden="false" customHeight="false" outlineLevel="0" collapsed="false">
      <c r="A41" s="26" t="n">
        <v>17</v>
      </c>
      <c r="B41" s="11"/>
      <c r="C41" s="27" t="str">
        <f aca="false">IFERROR(INDEX(Leistungskatalog!$C$4:$C$27,MATCH($B41,Leistungskatalog!$A$4:$A$27,0)),"")</f>
        <v/>
      </c>
      <c r="D41" s="28" t="str">
        <f aca="false">IFERROR(INDEX(Leistungskatalog!$D$4:$D$27,MATCH($B41,Leistungskatalog!$A$4:$A$27,0)),"")</f>
        <v/>
      </c>
      <c r="E41" s="23"/>
      <c r="F41" s="29" t="n">
        <f aca="false">IFERROR(INDEX(Leistungskatalog!$E$4:$E$27,MATCH($B41,Leistungskatalog!$A$4:$A$27,0)),0)</f>
        <v>0</v>
      </c>
      <c r="G41" s="25" t="str">
        <f aca="false">IF($B41="","",ROUND($E41*$F41,2))</f>
        <v/>
      </c>
      <c r="H41" s="30" t="str">
        <f aca="false">IF($B41="","",ROUND($G41*Stammdaten!$B$14,2))</f>
        <v/>
      </c>
      <c r="I41" s="31" t="n">
        <f aca="false">IFERROR(INDEX(Leistungskatalog!$F$4:$F$27,MATCH($B41,Leistungskatalog!$A$4:$A$27,0)),0)</f>
        <v>0</v>
      </c>
      <c r="J41" s="30" t="str">
        <f aca="false">IF($B41="","",ROUND($E41*$I41,2))</f>
        <v/>
      </c>
      <c r="K41" s="30" t="str">
        <f aca="false">IF($B41="","",ROUND($H41*(1+Stammdaten!$B$15)+$J41*(1+Stammdaten!$B$16),2))</f>
        <v/>
      </c>
      <c r="L41" s="30" t="str">
        <f aca="false">IF($B41="","",IFERROR(ROUND($K41*(1+Stammdaten!$B$17)*(1+Stammdaten!$B$19)/$E41,2),0))</f>
        <v/>
      </c>
      <c r="M41" s="30" t="str">
        <f aca="false">IF($B41="","",ROUND($L41*$E41,2))</f>
        <v/>
      </c>
    </row>
    <row r="42" customFormat="false" ht="15" hidden="false" customHeight="false" outlineLevel="0" collapsed="false">
      <c r="A42" s="32" t="n">
        <v>18</v>
      </c>
      <c r="B42" s="11"/>
      <c r="C42" s="33" t="str">
        <f aca="false">IFERROR(INDEX(Leistungskatalog!$C$4:$C$27,MATCH($B42,Leistungskatalog!$A$4:$A$27,0)),"")</f>
        <v/>
      </c>
      <c r="D42" s="34" t="str">
        <f aca="false">IFERROR(INDEX(Leistungskatalog!$D$4:$D$27,MATCH($B42,Leistungskatalog!$A$4:$A$27,0)),"")</f>
        <v/>
      </c>
      <c r="E42" s="23"/>
      <c r="F42" s="35" t="n">
        <f aca="false">IFERROR(INDEX(Leistungskatalog!$E$4:$E$27,MATCH($B42,Leistungskatalog!$A$4:$A$27,0)),0)</f>
        <v>0</v>
      </c>
      <c r="G42" s="36" t="str">
        <f aca="false">IF($B42="","",ROUND($E42*$F42,2))</f>
        <v/>
      </c>
      <c r="H42" s="37" t="str">
        <f aca="false">IF($B42="","",ROUND($G42*Stammdaten!$B$14,2))</f>
        <v/>
      </c>
      <c r="I42" s="38" t="n">
        <f aca="false">IFERROR(INDEX(Leistungskatalog!$F$4:$F$27,MATCH($B42,Leistungskatalog!$A$4:$A$27,0)),0)</f>
        <v>0</v>
      </c>
      <c r="J42" s="37" t="str">
        <f aca="false">IF($B42="","",ROUND($E42*$I42,2))</f>
        <v/>
      </c>
      <c r="K42" s="37" t="str">
        <f aca="false">IF($B42="","",ROUND($H42*(1+Stammdaten!$B$15)+$J42*(1+Stammdaten!$B$16),2))</f>
        <v/>
      </c>
      <c r="L42" s="37" t="str">
        <f aca="false">IF($B42="","",IFERROR(ROUND($K42*(1+Stammdaten!$B$17)*(1+Stammdaten!$B$19)/$E42,2),0))</f>
        <v/>
      </c>
      <c r="M42" s="37" t="str">
        <f aca="false">IF($B42="","",ROUND($L42*$E42,2))</f>
        <v/>
      </c>
    </row>
    <row r="43" customFormat="false" ht="15" hidden="false" customHeight="false" outlineLevel="0" collapsed="false">
      <c r="A43" s="26" t="n">
        <v>19</v>
      </c>
      <c r="B43" s="11"/>
      <c r="C43" s="27" t="str">
        <f aca="false">IFERROR(INDEX(Leistungskatalog!$C$4:$C$27,MATCH($B43,Leistungskatalog!$A$4:$A$27,0)),"")</f>
        <v/>
      </c>
      <c r="D43" s="28" t="str">
        <f aca="false">IFERROR(INDEX(Leistungskatalog!$D$4:$D$27,MATCH($B43,Leistungskatalog!$A$4:$A$27,0)),"")</f>
        <v/>
      </c>
      <c r="E43" s="23"/>
      <c r="F43" s="29" t="n">
        <f aca="false">IFERROR(INDEX(Leistungskatalog!$E$4:$E$27,MATCH($B43,Leistungskatalog!$A$4:$A$27,0)),0)</f>
        <v>0</v>
      </c>
      <c r="G43" s="25" t="str">
        <f aca="false">IF($B43="","",ROUND($E43*$F43,2))</f>
        <v/>
      </c>
      <c r="H43" s="30" t="str">
        <f aca="false">IF($B43="","",ROUND($G43*Stammdaten!$B$14,2))</f>
        <v/>
      </c>
      <c r="I43" s="31" t="n">
        <f aca="false">IFERROR(INDEX(Leistungskatalog!$F$4:$F$27,MATCH($B43,Leistungskatalog!$A$4:$A$27,0)),0)</f>
        <v>0</v>
      </c>
      <c r="J43" s="30" t="str">
        <f aca="false">IF($B43="","",ROUND($E43*$I43,2))</f>
        <v/>
      </c>
      <c r="K43" s="30" t="str">
        <f aca="false">IF($B43="","",ROUND($H43*(1+Stammdaten!$B$15)+$J43*(1+Stammdaten!$B$16),2))</f>
        <v/>
      </c>
      <c r="L43" s="30" t="str">
        <f aca="false">IF($B43="","",IFERROR(ROUND($K43*(1+Stammdaten!$B$17)*(1+Stammdaten!$B$19)/$E43,2),0))</f>
        <v/>
      </c>
      <c r="M43" s="30" t="str">
        <f aca="false">IF($B43="","",ROUND($L43*$E43,2))</f>
        <v/>
      </c>
    </row>
    <row r="44" customFormat="false" ht="15" hidden="false" customHeight="false" outlineLevel="0" collapsed="false">
      <c r="A44" s="32" t="n">
        <v>20</v>
      </c>
      <c r="B44" s="11"/>
      <c r="C44" s="33" t="str">
        <f aca="false">IFERROR(INDEX(Leistungskatalog!$C$4:$C$27,MATCH($B44,Leistungskatalog!$A$4:$A$27,0)),"")</f>
        <v/>
      </c>
      <c r="D44" s="34" t="str">
        <f aca="false">IFERROR(INDEX(Leistungskatalog!$D$4:$D$27,MATCH($B44,Leistungskatalog!$A$4:$A$27,0)),"")</f>
        <v/>
      </c>
      <c r="E44" s="23"/>
      <c r="F44" s="35" t="n">
        <f aca="false">IFERROR(INDEX(Leistungskatalog!$E$4:$E$27,MATCH($B44,Leistungskatalog!$A$4:$A$27,0)),0)</f>
        <v>0</v>
      </c>
      <c r="G44" s="36" t="str">
        <f aca="false">IF($B44="","",ROUND($E44*$F44,2))</f>
        <v/>
      </c>
      <c r="H44" s="37" t="str">
        <f aca="false">IF($B44="","",ROUND($G44*Stammdaten!$B$14,2))</f>
        <v/>
      </c>
      <c r="I44" s="38" t="n">
        <f aca="false">IFERROR(INDEX(Leistungskatalog!$F$4:$F$27,MATCH($B44,Leistungskatalog!$A$4:$A$27,0)),0)</f>
        <v>0</v>
      </c>
      <c r="J44" s="37" t="str">
        <f aca="false">IF($B44="","",ROUND($E44*$I44,2))</f>
        <v/>
      </c>
      <c r="K44" s="37" t="str">
        <f aca="false">IF($B44="","",ROUND($H44*(1+Stammdaten!$B$15)+$J44*(1+Stammdaten!$B$16),2))</f>
        <v/>
      </c>
      <c r="L44" s="37" t="str">
        <f aca="false">IF($B44="","",IFERROR(ROUND($K44*(1+Stammdaten!$B$17)*(1+Stammdaten!$B$19)/$E44,2),0))</f>
        <v/>
      </c>
      <c r="M44" s="37" t="str">
        <f aca="false">IF($B44="","",ROUND($L44*$E44,2))</f>
        <v/>
      </c>
    </row>
    <row r="46" customFormat="false" ht="15" hidden="false" customHeight="false" outlineLevel="0" collapsed="false">
      <c r="K46" s="39" t="s">
        <v>188</v>
      </c>
      <c r="L46" s="39"/>
      <c r="M46" s="40" t="n">
        <f aca="false">ROUND(SUM($M$25:$M$44),2)</f>
        <v>3212.34</v>
      </c>
    </row>
    <row r="47" customFormat="false" ht="15" hidden="false" customHeight="false" outlineLevel="0" collapsed="false">
      <c r="K47" s="39" t="s">
        <v>189</v>
      </c>
      <c r="L47" s="39"/>
      <c r="M47" s="40" t="n">
        <f aca="false">ROUND($B$21*Stammdaten!$B$20*(1+Stammdaten!$B$19),2)</f>
        <v>28.56</v>
      </c>
    </row>
    <row r="48" customFormat="false" ht="15" hidden="false" customHeight="false" outlineLevel="0" collapsed="false">
      <c r="K48" s="39" t="s">
        <v>190</v>
      </c>
      <c r="L48" s="39"/>
      <c r="M48" s="40" t="n">
        <f aca="false">ROUND($M$46+$M$47,2)</f>
        <v>3240.9</v>
      </c>
    </row>
    <row r="49" customFormat="false" ht="15" hidden="false" customHeight="false" outlineLevel="0" collapsed="false">
      <c r="K49" s="39" t="s">
        <v>191</v>
      </c>
      <c r="L49" s="39"/>
      <c r="M49" s="40" t="n">
        <f aca="false">-ROUND($M$48*Stammdaten!$B$18,2)</f>
        <v>-0</v>
      </c>
    </row>
    <row r="50" customFormat="false" ht="15" hidden="false" customHeight="false" outlineLevel="0" collapsed="false">
      <c r="K50" s="41" t="s">
        <v>192</v>
      </c>
      <c r="L50" s="41"/>
      <c r="M50" s="42" t="n">
        <f aca="false">ROUND($M$48+$M$49,2)</f>
        <v>3240.9</v>
      </c>
    </row>
    <row r="51" customFormat="false" ht="15" hidden="false" customHeight="false" outlineLevel="0" collapsed="false">
      <c r="K51" s="39" t="s">
        <v>193</v>
      </c>
      <c r="L51" s="39"/>
      <c r="M51" s="40" t="n">
        <f aca="false">ROUND($M$50*Stammdaten!$B$21,2)</f>
        <v>615.77</v>
      </c>
    </row>
    <row r="52" customFormat="false" ht="15" hidden="false" customHeight="false" outlineLevel="0" collapsed="false">
      <c r="K52" s="41" t="s">
        <v>194</v>
      </c>
      <c r="L52" s="41"/>
      <c r="M52" s="42" t="n">
        <f aca="false">ROUND($M$50+$M$51,2)</f>
        <v>3856.67</v>
      </c>
    </row>
    <row r="54" customFormat="false" ht="15" hidden="false" customHeight="false" outlineLevel="0" collapsed="false">
      <c r="A54" s="9" t="s">
        <v>195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customFormat="false" ht="15" hidden="false" customHeight="false" outlineLevel="0" collapsed="false">
      <c r="A55" s="2" t="s">
        <v>196</v>
      </c>
      <c r="B55" s="25" t="n">
        <f aca="false">ROUND(SUM($G$25:$G$44),2)</f>
        <v>45.17</v>
      </c>
    </row>
    <row r="56" customFormat="false" ht="15" hidden="false" customHeight="false" outlineLevel="0" collapsed="false">
      <c r="A56" s="2" t="s">
        <v>197</v>
      </c>
      <c r="B56" s="30" t="n">
        <f aca="false">ROUND(SUM($J$25:$J$44),2)</f>
        <v>401.13</v>
      </c>
    </row>
    <row r="57" customFormat="false" ht="15" hidden="false" customHeight="false" outlineLevel="0" collapsed="false">
      <c r="A57" s="2" t="s">
        <v>198</v>
      </c>
      <c r="B57" s="30" t="n">
        <f aca="false">ROUND(SUM($K$25:$K$44)+$B$21*Stammdaten!$B$20,2)</f>
        <v>2840.68</v>
      </c>
    </row>
    <row r="58" customFormat="false" ht="15" hidden="false" customHeight="false" outlineLevel="0" collapsed="false">
      <c r="A58" s="2" t="s">
        <v>199</v>
      </c>
      <c r="B58" s="30" t="n">
        <f aca="false">ROUND($M$50-$B$57,2)</f>
        <v>400.22</v>
      </c>
    </row>
    <row r="59" customFormat="false" ht="15" hidden="false" customHeight="false" outlineLevel="0" collapsed="false">
      <c r="A59" s="2" t="s">
        <v>200</v>
      </c>
      <c r="B59" s="43" t="n">
        <f aca="false">IFERROR($B$58/$M$50,0)</f>
        <v>0.123490388472338</v>
      </c>
    </row>
    <row r="60" customFormat="false" ht="15" hidden="false" customHeight="false" outlineLevel="0" collapsed="false">
      <c r="A60" s="2" t="s">
        <v>201</v>
      </c>
      <c r="B60" s="30" t="n">
        <f aca="false">IFERROR(ROUND($M$50/$B$11,2),0)</f>
        <v>72.02</v>
      </c>
    </row>
    <row r="61" customFormat="false" ht="15" hidden="false" customHeight="false" outlineLevel="0" collapsed="false">
      <c r="A61" s="2" t="s">
        <v>202</v>
      </c>
      <c r="B61" s="30" t="n">
        <f aca="false">IFERROR(ROUND($M$50/$B$55,2),0)</f>
        <v>71.75</v>
      </c>
    </row>
  </sheetData>
  <mergeCells count="8">
    <mergeCell ref="A1:M1"/>
    <mergeCell ref="K46:L46"/>
    <mergeCell ref="K47:L47"/>
    <mergeCell ref="K48:L48"/>
    <mergeCell ref="K49:L49"/>
    <mergeCell ref="K50:L50"/>
    <mergeCell ref="K51:L51"/>
    <mergeCell ref="K52:L52"/>
  </mergeCells>
  <dataValidations count="1">
    <dataValidation allowBlank="true" error="Bitte eine Katalog-Nr. aus dem Blatt 'Leistungskatalog' wählen." errorStyle="stop" operator="between" prompt="Katalog-Nr. wählen" showDropDown="false" showErrorMessage="false" showInputMessage="false" sqref="B25:B44" type="list">
      <formula1>Leistungskatalog!$A$4:$A$27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15" hidden="false" customHeight="true" outlineLevel="0" collapsed="false">
      <c r="A1" s="44" t="str">
        <f aca="false">Stammdaten!$B$4</f>
        <v>Muster Malerbetrieb GmbH</v>
      </c>
      <c r="B1" s="44"/>
      <c r="C1" s="44"/>
      <c r="D1" s="44"/>
      <c r="E1" s="45" t="s">
        <v>203</v>
      </c>
      <c r="F1" s="45"/>
    </row>
    <row r="2" customFormat="false" ht="15" hidden="false" customHeight="true" outlineLevel="0" collapsed="false">
      <c r="A2" s="46" t="str">
        <f aca="false">Stammdaten!$B$5</f>
        <v>Handwerkerweg 12</v>
      </c>
      <c r="B2" s="46"/>
      <c r="C2" s="46"/>
    </row>
    <row r="3" customFormat="false" ht="15" hidden="false" customHeight="true" outlineLevel="0" collapsed="false">
      <c r="A3" s="46" t="str">
        <f aca="false">Stammdaten!$B$6</f>
        <v>12345 Musterstadt</v>
      </c>
      <c r="B3" s="46"/>
      <c r="C3" s="46"/>
      <c r="E3" s="47" t="s">
        <v>204</v>
      </c>
      <c r="F3" s="48" t="str">
        <f aca="false">Kalkulation!$B$7</f>
        <v>2026-0001</v>
      </c>
    </row>
    <row r="4" customFormat="false" ht="15" hidden="false" customHeight="true" outlineLevel="0" collapsed="false">
      <c r="A4" s="46" t="str">
        <f aca="false">"Tel. "&amp;Stammdaten!$B$7</f>
        <v>Tel. 0123 456789</v>
      </c>
      <c r="B4" s="46"/>
      <c r="C4" s="46"/>
      <c r="E4" s="47" t="s">
        <v>205</v>
      </c>
      <c r="F4" s="49" t="n">
        <f aca="false">Kalkulation!$B$8</f>
        <v>46249</v>
      </c>
    </row>
    <row r="5" customFormat="false" ht="15" hidden="false" customHeight="true" outlineLevel="0" collapsed="false">
      <c r="A5" s="46" t="str">
        <f aca="false">Stammdaten!$B$8</f>
        <v>info@muster-malerbetrieb.de</v>
      </c>
      <c r="B5" s="46"/>
      <c r="C5" s="46"/>
      <c r="E5" s="47" t="s">
        <v>206</v>
      </c>
      <c r="F5" s="49" t="n">
        <f aca="false">Kalkulation!$B$8+Stammdaten!$B$23</f>
        <v>46279</v>
      </c>
    </row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false" outlineLevel="0" collapsed="false">
      <c r="A8" s="50" t="str">
        <f aca="false">Kalkulation!$B$3</f>
        <v>Familie Beispiel</v>
      </c>
      <c r="B8" s="50"/>
      <c r="C8" s="50"/>
    </row>
    <row r="9" customFormat="false" ht="15" hidden="false" customHeight="false" outlineLevel="0" collapsed="false">
      <c r="A9" s="51" t="str">
        <f aca="false">Kalkulation!$B$4</f>
        <v>Beispielstrasse 7</v>
      </c>
      <c r="B9" s="51"/>
      <c r="C9" s="51"/>
    </row>
    <row r="10" customFormat="false" ht="15" hidden="false" customHeight="false" outlineLevel="0" collapsed="false">
      <c r="A10" s="51" t="str">
        <f aca="false">Kalkulation!$B$5</f>
        <v>12345 Musterstadt</v>
      </c>
      <c r="B10" s="51"/>
      <c r="C10" s="51"/>
    </row>
    <row r="13" customFormat="false" ht="15" hidden="false" customHeight="false" outlineLevel="0" collapsed="false">
      <c r="A13" s="52" t="str">
        <f aca="false">"Bauvorhaben: "&amp;Kalkulation!$B$6</f>
        <v>Bauvorhaben: Wohnung 45 m², komplett streichen</v>
      </c>
      <c r="B13" s="52"/>
      <c r="C13" s="52"/>
      <c r="D13" s="52"/>
      <c r="E13" s="52"/>
      <c r="F13" s="52"/>
    </row>
    <row r="14" customFormat="false" ht="15" hidden="false" customHeight="false" outlineLevel="0" collapsed="false">
      <c r="A14" s="53" t="s">
        <v>207</v>
      </c>
      <c r="B14" s="53"/>
      <c r="C14" s="53"/>
      <c r="D14" s="53"/>
      <c r="E14" s="53"/>
      <c r="F14" s="53"/>
    </row>
    <row r="16" customFormat="false" ht="15" hidden="false" customHeight="false" outlineLevel="0" collapsed="false">
      <c r="A16" s="54" t="s">
        <v>177</v>
      </c>
      <c r="B16" s="54" t="s">
        <v>75</v>
      </c>
      <c r="C16" s="54" t="s">
        <v>179</v>
      </c>
      <c r="D16" s="54" t="s">
        <v>76</v>
      </c>
      <c r="E16" s="54" t="s">
        <v>208</v>
      </c>
      <c r="F16" s="54" t="s">
        <v>209</v>
      </c>
    </row>
    <row r="17" customFormat="false" ht="15" hidden="false" customHeight="false" outlineLevel="0" collapsed="false">
      <c r="A17" s="28" t="n">
        <f aca="false">IF(Kalkulation!$B$25="","",Kalkulation!$A$25)</f>
        <v>1</v>
      </c>
      <c r="B17" s="27" t="str">
        <f aca="false">IF(Kalkulation!$B$25="","",Kalkulation!$C$25)</f>
        <v>An- und Abfahrt, Rüst- und Räumzeit</v>
      </c>
      <c r="C17" s="55" t="n">
        <f aca="false">IF(Kalkulation!$B$25="","",Kalkulation!$E$25)</f>
        <v>1</v>
      </c>
      <c r="D17" s="28" t="str">
        <f aca="false">IF(Kalkulation!$B$25="","",Kalkulation!$D$25)</f>
        <v>pausch.</v>
      </c>
      <c r="E17" s="31" t="n">
        <f aca="false">IF(Kalkulation!$B$25="","",Kalkulation!$L$25)</f>
        <v>89.96</v>
      </c>
      <c r="F17" s="31" t="n">
        <f aca="false">IF(Kalkulation!$B$25="","",Kalkulation!$M$25)</f>
        <v>89.96</v>
      </c>
    </row>
    <row r="18" customFormat="false" ht="15" hidden="false" customHeight="false" outlineLevel="0" collapsed="false">
      <c r="A18" s="28" t="n">
        <f aca="false">IF(Kalkulation!$B$26="","",Kalkulation!$A$26)</f>
        <v>2</v>
      </c>
      <c r="B18" s="27" t="str">
        <f aca="false">IF(Kalkulation!$B$26="","",Kalkulation!$C$26)</f>
        <v>Böden und Mobiliar abdecken, Kanten abkleben</v>
      </c>
      <c r="C18" s="55" t="n">
        <f aca="false">IF(Kalkulation!$B$26="","",Kalkulation!$E$26)</f>
        <v>45</v>
      </c>
      <c r="D18" s="28" t="str">
        <f aca="false">IF(Kalkulation!$B$26="","",Kalkulation!$D$26)</f>
        <v>m²</v>
      </c>
      <c r="E18" s="31" t="n">
        <f aca="false">IF(Kalkulation!$B$26="","",Kalkulation!$L$26)</f>
        <v>3.44</v>
      </c>
      <c r="F18" s="31" t="n">
        <f aca="false">IF(Kalkulation!$B$26="","",Kalkulation!$M$26)</f>
        <v>154.8</v>
      </c>
    </row>
    <row r="19" customFormat="false" ht="15" hidden="false" customHeight="false" outlineLevel="0" collapsed="false">
      <c r="A19" s="28" t="n">
        <f aca="false">IF(Kalkulation!$B$27="","",Kalkulation!$A$27)</f>
        <v>3</v>
      </c>
      <c r="B19" s="27" t="str">
        <f aca="false">IF(Kalkulation!$B$27="","",Kalkulation!$C$27)</f>
        <v>Untergrund reinigen und vorbereiten</v>
      </c>
      <c r="C19" s="55" t="n">
        <f aca="false">IF(Kalkulation!$B$27="","",Kalkulation!$E$27)</f>
        <v>145.5</v>
      </c>
      <c r="D19" s="28" t="str">
        <f aca="false">IF(Kalkulation!$B$27="","",Kalkulation!$D$27)</f>
        <v>m²</v>
      </c>
      <c r="E19" s="31" t="n">
        <f aca="false">IF(Kalkulation!$B$27="","",Kalkulation!$L$27)</f>
        <v>2.52</v>
      </c>
      <c r="F19" s="31" t="n">
        <f aca="false">IF(Kalkulation!$B$27="","",Kalkulation!$M$27)</f>
        <v>366.66</v>
      </c>
    </row>
    <row r="20" customFormat="false" ht="15" hidden="false" customHeight="false" outlineLevel="0" collapsed="false">
      <c r="A20" s="28" t="n">
        <f aca="false">IF(Kalkulation!$B$28="","",Kalkulation!$A$28)</f>
        <v>4</v>
      </c>
      <c r="B20" s="27" t="str">
        <f aca="false">IF(Kalkulation!$B$28="","",Kalkulation!$C$28)</f>
        <v>Risse und Löcher spachteln, schleifen</v>
      </c>
      <c r="C20" s="55" t="n">
        <f aca="false">IF(Kalkulation!$B$28="","",Kalkulation!$E$28)</f>
        <v>43.7</v>
      </c>
      <c r="D20" s="28" t="str">
        <f aca="false">IF(Kalkulation!$B$28="","",Kalkulation!$D$28)</f>
        <v>m²</v>
      </c>
      <c r="E20" s="31" t="n">
        <f aca="false">IF(Kalkulation!$B$28="","",Kalkulation!$L$28)</f>
        <v>4.16</v>
      </c>
      <c r="F20" s="31" t="n">
        <f aca="false">IF(Kalkulation!$B$28="","",Kalkulation!$M$28)</f>
        <v>181.79</v>
      </c>
    </row>
    <row r="21" customFormat="false" ht="15" hidden="false" customHeight="false" outlineLevel="0" collapsed="false">
      <c r="A21" s="28" t="n">
        <f aca="false">IF(Kalkulation!$B$29="","",Kalkulation!$A$29)</f>
        <v>5</v>
      </c>
      <c r="B21" s="27" t="str">
        <f aca="false">IF(Kalkulation!$B$29="","",Kalkulation!$C$29)</f>
        <v>Tiefengrund / Haftgrund auftragen</v>
      </c>
      <c r="C21" s="55" t="n">
        <f aca="false">IF(Kalkulation!$B$29="","",Kalkulation!$E$29)</f>
        <v>145.5</v>
      </c>
      <c r="D21" s="28" t="str">
        <f aca="false">IF(Kalkulation!$B$29="","",Kalkulation!$D$29)</f>
        <v>m²</v>
      </c>
      <c r="E21" s="31" t="n">
        <f aca="false">IF(Kalkulation!$B$29="","",Kalkulation!$L$29)</f>
        <v>2.49</v>
      </c>
      <c r="F21" s="31" t="n">
        <f aca="false">IF(Kalkulation!$B$29="","",Kalkulation!$M$29)</f>
        <v>362.3</v>
      </c>
    </row>
    <row r="22" customFormat="false" ht="15" hidden="false" customHeight="false" outlineLevel="0" collapsed="false">
      <c r="A22" s="28" t="n">
        <f aca="false">IF(Kalkulation!$B$30="","",Kalkulation!$A$30)</f>
        <v>6</v>
      </c>
      <c r="B22" s="27" t="str">
        <f aca="false">IF(Kalkulation!$B$30="","",Kalkulation!$C$30)</f>
        <v>Wände streichen, 2 Anstriche Dispersion</v>
      </c>
      <c r="C22" s="55" t="n">
        <f aca="false">IF(Kalkulation!$B$30="","",Kalkulation!$E$30)</f>
        <v>100.5</v>
      </c>
      <c r="D22" s="28" t="str">
        <f aca="false">IF(Kalkulation!$B$30="","",Kalkulation!$D$30)</f>
        <v>m²</v>
      </c>
      <c r="E22" s="31" t="n">
        <f aca="false">IF(Kalkulation!$B$30="","",Kalkulation!$L$30)</f>
        <v>8.77</v>
      </c>
      <c r="F22" s="31" t="n">
        <f aca="false">IF(Kalkulation!$B$30="","",Kalkulation!$M$30)</f>
        <v>881.39</v>
      </c>
    </row>
    <row r="23" customFormat="false" ht="15" hidden="false" customHeight="false" outlineLevel="0" collapsed="false">
      <c r="A23" s="28" t="n">
        <f aca="false">IF(Kalkulation!$B$31="","",Kalkulation!$A$31)</f>
        <v>7</v>
      </c>
      <c r="B23" s="27" t="str">
        <f aca="false">IF(Kalkulation!$B$31="","",Kalkulation!$C$31)</f>
        <v>Decken streichen, 2 Anstriche Dispersion</v>
      </c>
      <c r="C23" s="55" t="n">
        <f aca="false">IF(Kalkulation!$B$31="","",Kalkulation!$E$31)</f>
        <v>45</v>
      </c>
      <c r="D23" s="28" t="str">
        <f aca="false">IF(Kalkulation!$B$31="","",Kalkulation!$D$31)</f>
        <v>m²</v>
      </c>
      <c r="E23" s="31" t="n">
        <f aca="false">IF(Kalkulation!$B$31="","",Kalkulation!$L$31)</f>
        <v>10.57</v>
      </c>
      <c r="F23" s="31" t="n">
        <f aca="false">IF(Kalkulation!$B$31="","",Kalkulation!$M$31)</f>
        <v>475.65</v>
      </c>
    </row>
    <row r="24" customFormat="false" ht="15" hidden="false" customHeight="false" outlineLevel="0" collapsed="false">
      <c r="A24" s="28" t="n">
        <f aca="false">IF(Kalkulation!$B$32="","",Kalkulation!$A$32)</f>
        <v>8</v>
      </c>
      <c r="B24" s="27" t="str">
        <f aca="false">IF(Kalkulation!$B$32="","",Kalkulation!$C$32)</f>
        <v>Türzarge lackieren</v>
      </c>
      <c r="C24" s="55" t="n">
        <f aca="false">IF(Kalkulation!$B$32="","",Kalkulation!$E$32)</f>
        <v>4</v>
      </c>
      <c r="D24" s="28" t="str">
        <f aca="false">IF(Kalkulation!$B$32="","",Kalkulation!$D$32)</f>
        <v>Stk</v>
      </c>
      <c r="E24" s="31" t="n">
        <f aca="false">IF(Kalkulation!$B$32="","",Kalkulation!$L$32)</f>
        <v>57.41</v>
      </c>
      <c r="F24" s="31" t="n">
        <f aca="false">IF(Kalkulation!$B$32="","",Kalkulation!$M$32)</f>
        <v>229.64</v>
      </c>
    </row>
    <row r="25" customFormat="false" ht="15" hidden="false" customHeight="false" outlineLevel="0" collapsed="false">
      <c r="A25" s="28" t="n">
        <f aca="false">IF(Kalkulation!$B$33="","",Kalkulation!$A$33)</f>
        <v>9</v>
      </c>
      <c r="B25" s="27" t="str">
        <f aca="false">IF(Kalkulation!$B$33="","",Kalkulation!$C$33)</f>
        <v>Türblatt lackieren, beidseitig</v>
      </c>
      <c r="C25" s="55" t="n">
        <f aca="false">IF(Kalkulation!$B$33="","",Kalkulation!$E$33)</f>
        <v>4</v>
      </c>
      <c r="D25" s="28" t="str">
        <f aca="false">IF(Kalkulation!$B$33="","",Kalkulation!$D$33)</f>
        <v>Stk</v>
      </c>
      <c r="E25" s="31" t="n">
        <f aca="false">IF(Kalkulation!$B$33="","",Kalkulation!$L$33)</f>
        <v>87.05</v>
      </c>
      <c r="F25" s="31" t="n">
        <f aca="false">IF(Kalkulation!$B$33="","",Kalkulation!$M$33)</f>
        <v>348.2</v>
      </c>
    </row>
    <row r="26" customFormat="false" ht="15" hidden="false" customHeight="false" outlineLevel="0" collapsed="false">
      <c r="A26" s="28" t="n">
        <f aca="false">IF(Kalkulation!$B$34="","",Kalkulation!$A$34)</f>
        <v>10</v>
      </c>
      <c r="B26" s="27" t="str">
        <f aca="false">IF(Kalkulation!$B$34="","",Kalkulation!$C$34)</f>
        <v>Endreinigung und Abfallentsorgung</v>
      </c>
      <c r="C26" s="55" t="n">
        <f aca="false">IF(Kalkulation!$B$34="","",Kalkulation!$E$34)</f>
        <v>45</v>
      </c>
      <c r="D26" s="28" t="str">
        <f aca="false">IF(Kalkulation!$B$34="","",Kalkulation!$D$34)</f>
        <v>m²</v>
      </c>
      <c r="E26" s="31" t="n">
        <f aca="false">IF(Kalkulation!$B$34="","",Kalkulation!$L$34)</f>
        <v>2.71</v>
      </c>
      <c r="F26" s="31" t="n">
        <f aca="false">IF(Kalkulation!$B$34="","",Kalkulation!$M$34)</f>
        <v>121.95</v>
      </c>
    </row>
    <row r="27" customFormat="false" ht="15" hidden="false" customHeight="false" outlineLevel="0" collapsed="false">
      <c r="A27" s="28" t="str">
        <f aca="false">IF(Kalkulation!$B$35="","",Kalkulation!$A$35)</f>
        <v/>
      </c>
      <c r="B27" s="27" t="str">
        <f aca="false">IF(Kalkulation!$B$35="","",Kalkulation!$C$35)</f>
        <v/>
      </c>
      <c r="C27" s="55" t="str">
        <f aca="false">IF(Kalkulation!$B$35="","",Kalkulation!$E$35)</f>
        <v/>
      </c>
      <c r="D27" s="28" t="str">
        <f aca="false">IF(Kalkulation!$B$35="","",Kalkulation!$D$35)</f>
        <v/>
      </c>
      <c r="E27" s="31" t="str">
        <f aca="false">IF(Kalkulation!$B$35="","",Kalkulation!$L$35)</f>
        <v/>
      </c>
      <c r="F27" s="31" t="str">
        <f aca="false">IF(Kalkulation!$B$35="","",Kalkulation!$M$35)</f>
        <v/>
      </c>
    </row>
    <row r="28" customFormat="false" ht="15" hidden="false" customHeight="false" outlineLevel="0" collapsed="false">
      <c r="A28" s="28" t="str">
        <f aca="false">IF(Kalkulation!$B$36="","",Kalkulation!$A$36)</f>
        <v/>
      </c>
      <c r="B28" s="27" t="str">
        <f aca="false">IF(Kalkulation!$B$36="","",Kalkulation!$C$36)</f>
        <v/>
      </c>
      <c r="C28" s="55" t="str">
        <f aca="false">IF(Kalkulation!$B$36="","",Kalkulation!$E$36)</f>
        <v/>
      </c>
      <c r="D28" s="28" t="str">
        <f aca="false">IF(Kalkulation!$B$36="","",Kalkulation!$D$36)</f>
        <v/>
      </c>
      <c r="E28" s="31" t="str">
        <f aca="false">IF(Kalkulation!$B$36="","",Kalkulation!$L$36)</f>
        <v/>
      </c>
      <c r="F28" s="31" t="str">
        <f aca="false">IF(Kalkulation!$B$36="","",Kalkulation!$M$36)</f>
        <v/>
      </c>
    </row>
    <row r="29" customFormat="false" ht="15" hidden="false" customHeight="false" outlineLevel="0" collapsed="false">
      <c r="A29" s="28" t="str">
        <f aca="false">IF(Kalkulation!$B$37="","",Kalkulation!$A$37)</f>
        <v/>
      </c>
      <c r="B29" s="27" t="str">
        <f aca="false">IF(Kalkulation!$B$37="","",Kalkulation!$C$37)</f>
        <v/>
      </c>
      <c r="C29" s="55" t="str">
        <f aca="false">IF(Kalkulation!$B$37="","",Kalkulation!$E$37)</f>
        <v/>
      </c>
      <c r="D29" s="28" t="str">
        <f aca="false">IF(Kalkulation!$B$37="","",Kalkulation!$D$37)</f>
        <v/>
      </c>
      <c r="E29" s="31" t="str">
        <f aca="false">IF(Kalkulation!$B$37="","",Kalkulation!$L$37)</f>
        <v/>
      </c>
      <c r="F29" s="31" t="str">
        <f aca="false">IF(Kalkulation!$B$37="","",Kalkulation!$M$37)</f>
        <v/>
      </c>
    </row>
    <row r="30" customFormat="false" ht="15" hidden="false" customHeight="false" outlineLevel="0" collapsed="false">
      <c r="A30" s="28" t="str">
        <f aca="false">IF(Kalkulation!$B$38="","",Kalkulation!$A$38)</f>
        <v/>
      </c>
      <c r="B30" s="27" t="str">
        <f aca="false">IF(Kalkulation!$B$38="","",Kalkulation!$C$38)</f>
        <v/>
      </c>
      <c r="C30" s="55" t="str">
        <f aca="false">IF(Kalkulation!$B$38="","",Kalkulation!$E$38)</f>
        <v/>
      </c>
      <c r="D30" s="28" t="str">
        <f aca="false">IF(Kalkulation!$B$38="","",Kalkulation!$D$38)</f>
        <v/>
      </c>
      <c r="E30" s="31" t="str">
        <f aca="false">IF(Kalkulation!$B$38="","",Kalkulation!$L$38)</f>
        <v/>
      </c>
      <c r="F30" s="31" t="str">
        <f aca="false">IF(Kalkulation!$B$38="","",Kalkulation!$M$38)</f>
        <v/>
      </c>
    </row>
    <row r="31" customFormat="false" ht="15" hidden="false" customHeight="false" outlineLevel="0" collapsed="false">
      <c r="A31" s="28" t="str">
        <f aca="false">IF(Kalkulation!$B$39="","",Kalkulation!$A$39)</f>
        <v/>
      </c>
      <c r="B31" s="27" t="str">
        <f aca="false">IF(Kalkulation!$B$39="","",Kalkulation!$C$39)</f>
        <v/>
      </c>
      <c r="C31" s="55" t="str">
        <f aca="false">IF(Kalkulation!$B$39="","",Kalkulation!$E$39)</f>
        <v/>
      </c>
      <c r="D31" s="28" t="str">
        <f aca="false">IF(Kalkulation!$B$39="","",Kalkulation!$D$39)</f>
        <v/>
      </c>
      <c r="E31" s="31" t="str">
        <f aca="false">IF(Kalkulation!$B$39="","",Kalkulation!$L$39)</f>
        <v/>
      </c>
      <c r="F31" s="31" t="str">
        <f aca="false">IF(Kalkulation!$B$39="","",Kalkulation!$M$39)</f>
        <v/>
      </c>
    </row>
    <row r="32" customFormat="false" ht="15" hidden="false" customHeight="false" outlineLevel="0" collapsed="false">
      <c r="A32" s="28" t="str">
        <f aca="false">IF(Kalkulation!$B$40="","",Kalkulation!$A$40)</f>
        <v/>
      </c>
      <c r="B32" s="27" t="str">
        <f aca="false">IF(Kalkulation!$B$40="","",Kalkulation!$C$40)</f>
        <v/>
      </c>
      <c r="C32" s="55" t="str">
        <f aca="false">IF(Kalkulation!$B$40="","",Kalkulation!$E$40)</f>
        <v/>
      </c>
      <c r="D32" s="28" t="str">
        <f aca="false">IF(Kalkulation!$B$40="","",Kalkulation!$D$40)</f>
        <v/>
      </c>
      <c r="E32" s="31" t="str">
        <f aca="false">IF(Kalkulation!$B$40="","",Kalkulation!$L$40)</f>
        <v/>
      </c>
      <c r="F32" s="31" t="str">
        <f aca="false">IF(Kalkulation!$B$40="","",Kalkulation!$M$40)</f>
        <v/>
      </c>
    </row>
    <row r="33" customFormat="false" ht="15" hidden="false" customHeight="false" outlineLevel="0" collapsed="false">
      <c r="A33" s="28" t="str">
        <f aca="false">IF(Kalkulation!$B$41="","",Kalkulation!$A$41)</f>
        <v/>
      </c>
      <c r="B33" s="27" t="str">
        <f aca="false">IF(Kalkulation!$B$41="","",Kalkulation!$C$41)</f>
        <v/>
      </c>
      <c r="C33" s="55" t="str">
        <f aca="false">IF(Kalkulation!$B$41="","",Kalkulation!$E$41)</f>
        <v/>
      </c>
      <c r="D33" s="28" t="str">
        <f aca="false">IF(Kalkulation!$B$41="","",Kalkulation!$D$41)</f>
        <v/>
      </c>
      <c r="E33" s="31" t="str">
        <f aca="false">IF(Kalkulation!$B$41="","",Kalkulation!$L$41)</f>
        <v/>
      </c>
      <c r="F33" s="31" t="str">
        <f aca="false">IF(Kalkulation!$B$41="","",Kalkulation!$M$41)</f>
        <v/>
      </c>
    </row>
    <row r="34" customFormat="false" ht="15" hidden="false" customHeight="false" outlineLevel="0" collapsed="false">
      <c r="A34" s="28" t="str">
        <f aca="false">IF(Kalkulation!$B$42="","",Kalkulation!$A$42)</f>
        <v/>
      </c>
      <c r="B34" s="27" t="str">
        <f aca="false">IF(Kalkulation!$B$42="","",Kalkulation!$C$42)</f>
        <v/>
      </c>
      <c r="C34" s="55" t="str">
        <f aca="false">IF(Kalkulation!$B$42="","",Kalkulation!$E$42)</f>
        <v/>
      </c>
      <c r="D34" s="28" t="str">
        <f aca="false">IF(Kalkulation!$B$42="","",Kalkulation!$D$42)</f>
        <v/>
      </c>
      <c r="E34" s="31" t="str">
        <f aca="false">IF(Kalkulation!$B$42="","",Kalkulation!$L$42)</f>
        <v/>
      </c>
      <c r="F34" s="31" t="str">
        <f aca="false">IF(Kalkulation!$B$42="","",Kalkulation!$M$42)</f>
        <v/>
      </c>
    </row>
    <row r="35" customFormat="false" ht="15" hidden="false" customHeight="false" outlineLevel="0" collapsed="false">
      <c r="A35" s="28" t="str">
        <f aca="false">IF(Kalkulation!$B$43="","",Kalkulation!$A$43)</f>
        <v/>
      </c>
      <c r="B35" s="27" t="str">
        <f aca="false">IF(Kalkulation!$B$43="","",Kalkulation!$C$43)</f>
        <v/>
      </c>
      <c r="C35" s="55" t="str">
        <f aca="false">IF(Kalkulation!$B$43="","",Kalkulation!$E$43)</f>
        <v/>
      </c>
      <c r="D35" s="28" t="str">
        <f aca="false">IF(Kalkulation!$B$43="","",Kalkulation!$D$43)</f>
        <v/>
      </c>
      <c r="E35" s="31" t="str">
        <f aca="false">IF(Kalkulation!$B$43="","",Kalkulation!$L$43)</f>
        <v/>
      </c>
      <c r="F35" s="31" t="str">
        <f aca="false">IF(Kalkulation!$B$43="","",Kalkulation!$M$43)</f>
        <v/>
      </c>
    </row>
    <row r="36" customFormat="false" ht="15" hidden="false" customHeight="false" outlineLevel="0" collapsed="false">
      <c r="A36" s="28" t="str">
        <f aca="false">IF(Kalkulation!$B$44="","",Kalkulation!$A$44)</f>
        <v/>
      </c>
      <c r="B36" s="27" t="str">
        <f aca="false">IF(Kalkulation!$B$44="","",Kalkulation!$C$44)</f>
        <v/>
      </c>
      <c r="C36" s="55" t="str">
        <f aca="false">IF(Kalkulation!$B$44="","",Kalkulation!$E$44)</f>
        <v/>
      </c>
      <c r="D36" s="28" t="str">
        <f aca="false">IF(Kalkulation!$B$44="","",Kalkulation!$D$44)</f>
        <v/>
      </c>
      <c r="E36" s="31" t="str">
        <f aca="false">IF(Kalkulation!$B$44="","",Kalkulation!$L$44)</f>
        <v/>
      </c>
      <c r="F36" s="31" t="str">
        <f aca="false">IF(Kalkulation!$B$44="","",Kalkulation!$M$44)</f>
        <v/>
      </c>
    </row>
    <row r="38" customFormat="false" ht="15" hidden="false" customHeight="false" outlineLevel="0" collapsed="false">
      <c r="D38" s="39" t="s">
        <v>210</v>
      </c>
      <c r="E38" s="39"/>
      <c r="F38" s="31" t="n">
        <f aca="false">Kalkulation!$M$46</f>
        <v>3212.34</v>
      </c>
    </row>
    <row r="39" customFormat="false" ht="15" hidden="false" customHeight="false" outlineLevel="0" collapsed="false">
      <c r="D39" s="39" t="s">
        <v>211</v>
      </c>
      <c r="E39" s="39"/>
      <c r="F39" s="31" t="n">
        <f aca="false">Kalkulation!$M$47</f>
        <v>28.56</v>
      </c>
    </row>
    <row r="40" customFormat="false" ht="15" hidden="false" customHeight="false" outlineLevel="0" collapsed="false">
      <c r="D40" s="39" t="s">
        <v>191</v>
      </c>
      <c r="E40" s="39"/>
      <c r="F40" s="31" t="n">
        <f aca="false">Kalkulation!$M$49</f>
        <v>-0</v>
      </c>
    </row>
    <row r="41" customFormat="false" ht="15" hidden="false" customHeight="false" outlineLevel="0" collapsed="false">
      <c r="D41" s="41" t="s">
        <v>192</v>
      </c>
      <c r="E41" s="41"/>
      <c r="F41" s="56" t="n">
        <f aca="false">Kalkulation!$M$50</f>
        <v>3240.9</v>
      </c>
    </row>
    <row r="42" customFormat="false" ht="15" hidden="false" customHeight="false" outlineLevel="0" collapsed="false">
      <c r="D42" s="39" t="str">
        <f aca="false">" zzgl. "&amp;TEXT(Stammdaten!$B$21,"0 %")&amp;" Umsatzsteuer"</f>
        <v> zzgl. 19 % Umsatzsteuer</v>
      </c>
      <c r="E42" s="39"/>
      <c r="F42" s="31" t="n">
        <f aca="false">Kalkulation!$M$51</f>
        <v>615.77</v>
      </c>
    </row>
    <row r="43" customFormat="false" ht="15" hidden="false" customHeight="false" outlineLevel="0" collapsed="false">
      <c r="D43" s="41" t="s">
        <v>194</v>
      </c>
      <c r="E43" s="41"/>
      <c r="F43" s="57" t="n">
        <f aca="false">Kalkulation!$M$52</f>
        <v>3856.67</v>
      </c>
    </row>
    <row r="46" customFormat="false" ht="15" hidden="false" customHeight="false" outlineLevel="0" collapsed="false">
      <c r="A46" s="58" t="str">
        <f aca="false">"Zahlungsbedingungen: "&amp;TEXT(Stammdaten!$B$22,"0")&amp;" Tage netto, bei Zahlung innerhalb von 8 Tagen "&amp;TEXT(Stammdaten!$B$19,"0 %")&amp;" Skonto."</f>
        <v>Zahlungsbedingungen: 14 Tage netto, bei Zahlung innerhalb von 8 Tagen 2 % Skonto.</v>
      </c>
      <c r="B46" s="58"/>
      <c r="C46" s="58"/>
      <c r="D46" s="58"/>
      <c r="E46" s="58"/>
      <c r="F46" s="58"/>
    </row>
    <row r="47" customFormat="false" ht="15" hidden="false" customHeight="false" outlineLevel="0" collapsed="false">
      <c r="A47" s="16" t="str">
        <f aca="false">"Dieses Angebot ist "&amp;TEXT(Stammdaten!$B$23,"0")&amp;" Tage ab Angebotsdatum gültig."</f>
        <v>Dieses Angebot ist 30 Tage ab Angebotsdatum gültig.</v>
      </c>
      <c r="B47" s="16"/>
      <c r="C47" s="16"/>
      <c r="D47" s="16"/>
      <c r="E47" s="16"/>
      <c r="F47" s="16"/>
    </row>
    <row r="48" customFormat="false" ht="15" hidden="false" customHeight="false" outlineLevel="0" collapsed="false">
      <c r="A48" s="16" t="s">
        <v>212</v>
      </c>
      <c r="B48" s="16"/>
      <c r="C48" s="16"/>
      <c r="D48" s="16"/>
      <c r="E48" s="16"/>
      <c r="F48" s="16"/>
    </row>
    <row r="49" customFormat="false" ht="15" hidden="false" customHeight="false" outlineLevel="0" collapsed="false">
      <c r="A49" s="16" t="str">
        <f aca="false">"USt-IdNr.: "&amp;Stammdaten!$B$9&amp;"   |   IBAN: "&amp;Stammdaten!$B$10</f>
        <v>USt-IdNr.: DE123456789   |   IBAN: DE00 0000 0000 0000 0000 00</v>
      </c>
      <c r="B49" s="16"/>
      <c r="C49" s="16"/>
      <c r="D49" s="16"/>
      <c r="E49" s="16"/>
      <c r="F49" s="16"/>
    </row>
    <row r="52" customFormat="false" ht="15" hidden="false" customHeight="false" outlineLevel="0" collapsed="false">
      <c r="A52" s="2" t="s">
        <v>213</v>
      </c>
    </row>
    <row r="54" customFormat="false" ht="15" hidden="false" customHeight="false" outlineLevel="0" collapsed="false">
      <c r="A54" s="59" t="str">
        <f aca="false">Stammdaten!$B$4</f>
        <v>Muster Malerbetrieb GmbH</v>
      </c>
    </row>
  </sheetData>
  <mergeCells count="21">
    <mergeCell ref="A1:D1"/>
    <mergeCell ref="E1:F1"/>
    <mergeCell ref="A2:C2"/>
    <mergeCell ref="A3:C3"/>
    <mergeCell ref="A4:C4"/>
    <mergeCell ref="A5:C5"/>
    <mergeCell ref="A8:C8"/>
    <mergeCell ref="A9:C9"/>
    <mergeCell ref="A10:C10"/>
    <mergeCell ref="A13:F13"/>
    <mergeCell ref="A14:F14"/>
    <mergeCell ref="D38:E38"/>
    <mergeCell ref="D39:E39"/>
    <mergeCell ref="D40:E40"/>
    <mergeCell ref="D41:E41"/>
    <mergeCell ref="D42:E42"/>
    <mergeCell ref="D43:E43"/>
    <mergeCell ref="A46:F46"/>
    <mergeCell ref="A47:F47"/>
    <mergeCell ref="A48:F48"/>
    <mergeCell ref="A49:F49"/>
  </mergeCells>
  <printOptions headings="false" gridLines="false" gridLinesSet="true" horizontalCentered="false" verticalCentered="false"/>
  <pageMargins left="0.6" right="0.6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2026-08-15T17:19:10Z</dcterms:created>
  <dc:creator>openpyxl</dc:creator>
  <dc:description/>
  <dc:language>en-US</dc:language>
  <cp:lastModifiedBy/>
  <dcterms:modified xsi:type="dcterms:W3CDTF">2026-08-15T17:19:10Z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
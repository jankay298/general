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sheetId="1" state="visible" r:id="rId1"/>
    <sheet name="Eingaben" sheetId="2" state="visible" r:id="rId2"/>
    <sheet name="Stundensatz" sheetId="3" state="visible" r:id="rId3"/>
    <sheet name="Steuerrücklage" sheetId="4" state="visible" r:id="rId4"/>
    <sheet name="Liquidität" sheetId="5" state="visible" r:id="rId5"/>
    <sheet name="Auswertung" sheetId="6" state="visible" r:id="rId6"/>
    <sheet name="Hinweise" sheetId="7" state="visible" r:id="rId7"/>
  </sheets>
  <definedNames/>
  <calcPr calcId="124519" fullCalcOnLoad="1"/>
</workbook>
</file>

<file path=xl/styles.xml><?xml version="1.0" encoding="utf-8"?>
<styleSheet xmlns="http://schemas.openxmlformats.org/spreadsheetml/2006/main">
  <numFmts count="5">
    <numFmt numFmtId="164" formatCode="#,##0 &quot;€&quot;"/>
    <numFmt numFmtId="165" formatCode="0 %"/>
    <numFmt numFmtId="166" formatCode="#,##0 &quot;h&quot;"/>
    <numFmt numFmtId="167" formatCode="#,##0.00 &quot;€&quot;"/>
    <numFmt numFmtId="168" formatCode="#,##0.0 &quot;h&quot;"/>
  </numFmts>
  <fonts count="15">
    <font>
      <name val="Calibri"/>
      <family val="2"/>
      <color theme="1"/>
      <sz val="11"/>
      <scheme val="minor"/>
    </font>
    <font>
      <name val="Arial"/>
      <b val="1"/>
      <color rgb="001F3A42"/>
      <sz val="16"/>
    </font>
    <font>
      <name val="Arial"/>
      <i val="1"/>
      <color rgb="005C6B70"/>
      <sz val="9"/>
    </font>
    <font>
      <name val="Arial"/>
      <b val="1"/>
      <color rgb="000D6B61"/>
      <sz val="10"/>
    </font>
    <font>
      <name val="Arial"/>
      <b val="1"/>
      <color rgb="001F3A42"/>
      <sz val="10"/>
    </font>
    <font>
      <name val="Arial"/>
      <color rgb="001F3A42"/>
      <sz val="10"/>
    </font>
    <font>
      <name val="Arial"/>
      <b val="1"/>
      <color rgb="000000FF"/>
      <sz val="10"/>
    </font>
    <font>
      <name val="Arial"/>
      <color rgb="005C6B70"/>
      <sz val="9"/>
    </font>
    <font>
      <name val="Arial"/>
      <color rgb="00008000"/>
      <sz val="10"/>
    </font>
    <font>
      <name val="Arial"/>
      <b val="1"/>
      <color rgb="000D6B61"/>
      <sz val="14"/>
    </font>
    <font>
      <name val="Arial"/>
      <b val="1"/>
      <color rgb="001F3A42"/>
      <sz val="11"/>
    </font>
    <font>
      <name val="Arial"/>
      <b val="1"/>
      <color rgb="005C6B70"/>
      <sz val="9"/>
    </font>
    <font>
      <name val="Arial"/>
      <b val="1"/>
      <color rgb="00A32319"/>
      <sz val="9"/>
    </font>
    <font>
      <name val="Arial"/>
      <b val="1"/>
      <color rgb="00008000"/>
      <sz val="10"/>
    </font>
    <font>
      <name val="Arial"/>
      <b val="1"/>
      <color rgb="000D6B61"/>
      <sz val="11"/>
    </font>
  </fonts>
  <fills count="4">
    <fill>
      <patternFill/>
    </fill>
    <fill>
      <patternFill patternType="gray125"/>
    </fill>
    <fill>
      <patternFill patternType="solid">
        <fgColor rgb="00EDF2F1"/>
      </patternFill>
    </fill>
    <fill>
      <patternFill patternType="solid">
        <fgColor rgb="00FFF2B8"/>
      </patternFill>
    </fill>
  </fills>
  <borders count="7">
    <border>
      <left/>
      <right/>
      <top/>
      <bottom/>
      <diagonal/>
    </border>
    <border>
      <left style="thin">
        <color rgb="00C9D3D1"/>
      </left>
      <right style="thin">
        <color rgb="00C9D3D1"/>
      </right>
      <top style="thin">
        <color rgb="00C9D3D1"/>
      </top>
      <bottom style="thin">
        <color rgb="00C9D3D1"/>
      </bottom>
    </border>
    <border>
      <top style="thin">
        <color rgb="00C9D3D1"/>
      </top>
      <bottom style="medium">
        <color rgb="001F3A42"/>
      </bottom>
    </border>
    <border>
      <top style="medium">
        <color rgb="001F3A42"/>
      </top>
      <bottom style="medium">
        <color rgb="001F3A42"/>
      </bottom>
    </border>
    <border>
      <bottom style="thin">
        <color rgb="00C9D3D1"/>
      </bottom>
    </border>
    <border>
      <bottom style="medium">
        <color rgb="001F3A42"/>
      </bottom>
    </border>
    <border>
      <top style="medium">
        <color rgb="001F3A42"/>
      </top>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5" fillId="0" borderId="0" applyAlignment="1" pivotButton="0" quotePrefix="0" xfId="0">
      <alignment vertical="top" wrapText="1"/>
    </xf>
    <xf numFmtId="0" fontId="5" fillId="0" borderId="0" pivotButton="0" quotePrefix="0" xfId="0"/>
    <xf numFmtId="164" fontId="6" fillId="3" borderId="1" applyAlignment="1" pivotButton="0" quotePrefix="0" xfId="0">
      <alignment horizontal="right"/>
    </xf>
    <xf numFmtId="164" fontId="4" fillId="0" borderId="0" applyAlignment="1" pivotButton="0" quotePrefix="0" xfId="0">
      <alignment horizontal="right"/>
    </xf>
    <xf numFmtId="165" fontId="6" fillId="3" borderId="1" applyAlignment="1" pivotButton="0" quotePrefix="0" xfId="0">
      <alignment horizontal="right"/>
    </xf>
    <xf numFmtId="0" fontId="6" fillId="3" borderId="1" applyAlignment="1" pivotButton="0" quotePrefix="0" xfId="0">
      <alignment horizontal="center"/>
    </xf>
    <xf numFmtId="166" fontId="6" fillId="3" borderId="1" applyAlignment="1" pivotButton="0" quotePrefix="0" xfId="0">
      <alignment horizontal="right"/>
    </xf>
    <xf numFmtId="3" fontId="6" fillId="3" borderId="1" applyAlignment="1" pivotButton="0" quotePrefix="0" xfId="0">
      <alignment horizontal="right"/>
    </xf>
    <xf numFmtId="167" fontId="6" fillId="3" borderId="1" applyAlignment="1" pivotButton="0" quotePrefix="0" xfId="0">
      <alignment horizontal="right"/>
    </xf>
    <xf numFmtId="0" fontId="3" fillId="0" borderId="0" pivotButton="0" quotePrefix="0" xfId="0"/>
    <xf numFmtId="0" fontId="7" fillId="0" borderId="0" applyAlignment="1" pivotButton="0" quotePrefix="0" xfId="0">
      <alignment vertical="top" wrapText="1"/>
    </xf>
    <xf numFmtId="164" fontId="8" fillId="0" borderId="0" applyAlignment="1" pivotButton="0" quotePrefix="0" xfId="0">
      <alignment horizontal="right"/>
    </xf>
    <xf numFmtId="164" fontId="5" fillId="0" borderId="0" applyAlignment="1" pivotButton="0" quotePrefix="0" xfId="0">
      <alignment horizontal="right"/>
    </xf>
    <xf numFmtId="164" fontId="4" fillId="0" borderId="2" applyAlignment="1" pivotButton="0" quotePrefix="0" xfId="0">
      <alignment horizontal="right"/>
    </xf>
    <xf numFmtId="3" fontId="5" fillId="0" borderId="0" applyAlignment="1" pivotButton="0" quotePrefix="0" xfId="0">
      <alignment horizontal="right"/>
    </xf>
    <xf numFmtId="168" fontId="5" fillId="0" borderId="0" applyAlignment="1" pivotButton="0" quotePrefix="0" xfId="0">
      <alignment horizontal="right"/>
    </xf>
    <xf numFmtId="166" fontId="5" fillId="0" borderId="0" applyAlignment="1" pivotButton="0" quotePrefix="0" xfId="0">
      <alignment horizontal="right"/>
    </xf>
    <xf numFmtId="166" fontId="4" fillId="0" borderId="0" applyAlignment="1" pivotButton="0" quotePrefix="0" xfId="0">
      <alignment horizontal="right"/>
    </xf>
    <xf numFmtId="0" fontId="10" fillId="0" borderId="0" pivotButton="0" quotePrefix="0" xfId="0"/>
    <xf numFmtId="167" fontId="9" fillId="0" borderId="3" applyAlignment="1" pivotButton="0" quotePrefix="0" xfId="0">
      <alignment horizontal="right"/>
    </xf>
    <xf numFmtId="167" fontId="5" fillId="0" borderId="0" applyAlignment="1" pivotButton="0" quotePrefix="0" xfId="0">
      <alignment horizontal="right"/>
    </xf>
    <xf numFmtId="167" fontId="8" fillId="0" borderId="0" applyAlignment="1" pivotButton="0" quotePrefix="0" xfId="0">
      <alignment horizontal="right"/>
    </xf>
    <xf numFmtId="0" fontId="4" fillId="0" borderId="0" applyAlignment="1" pivotButton="0" quotePrefix="0" xfId="0">
      <alignment horizontal="left"/>
    </xf>
    <xf numFmtId="0" fontId="11" fillId="0" borderId="4" applyAlignment="1" pivotButton="0" quotePrefix="0" xfId="0">
      <alignment horizontal="left"/>
    </xf>
    <xf numFmtId="0" fontId="11" fillId="0" borderId="4" applyAlignment="1" pivotButton="0" quotePrefix="0" xfId="0">
      <alignment horizontal="right"/>
    </xf>
    <xf numFmtId="165" fontId="5" fillId="0" borderId="0" pivotButton="0" quotePrefix="0" xfId="0"/>
    <xf numFmtId="0" fontId="12" fillId="0" borderId="0" pivotButton="0" quotePrefix="0" xfId="0"/>
    <xf numFmtId="0" fontId="11" fillId="0" borderId="5" applyAlignment="1" pivotButton="0" quotePrefix="0" xfId="0">
      <alignment horizontal="left" vertical="bottom" wrapText="1"/>
    </xf>
    <xf numFmtId="0" fontId="11" fillId="0" borderId="5" applyAlignment="1" pivotButton="0" quotePrefix="0" xfId="0">
      <alignment horizontal="right" vertical="bottom" wrapText="1"/>
    </xf>
    <xf numFmtId="164" fontId="6" fillId="3" borderId="1" pivotButton="0" quotePrefix="0" xfId="0"/>
    <xf numFmtId="164" fontId="8" fillId="0" borderId="0" pivotButton="0" quotePrefix="0" xfId="0"/>
    <xf numFmtId="164" fontId="5" fillId="0" borderId="0" pivotButton="0" quotePrefix="0" xfId="0"/>
    <xf numFmtId="164" fontId="4" fillId="0" borderId="0" pivotButton="0" quotePrefix="0" xfId="0"/>
    <xf numFmtId="164" fontId="4" fillId="0" borderId="6" pivotButton="0" quotePrefix="0" xfId="0"/>
    <xf numFmtId="164" fontId="13" fillId="0" borderId="0" applyAlignment="1" pivotButton="0" quotePrefix="0" xfId="0">
      <alignment horizontal="right"/>
    </xf>
    <xf numFmtId="0" fontId="14" fillId="0" borderId="0" pivotButton="0" quotePrefix="0" xfId="0"/>
  </cellXfs>
  <cellStyles count="1">
    <cellStyle name="Normal" xfId="0" builtinId="0" hidden="0"/>
  </cellStyles>
  <dxfs count="3">
    <dxf>
      <font>
        <name val="Arial"/>
        <b val="1"/>
        <color rgb="00A32319"/>
      </font>
    </dxf>
    <dxf>
      <fill>
        <patternFill patternType="solid">
          <fgColor rgb="00DCEBE8"/>
        </patternFill>
      </fill>
    </dxf>
    <dxf>
      <font>
        <name val="Arial"/>
        <b val="1"/>
        <color rgb="00A32319"/>
      </font>
      <fill>
        <patternFill patternType="solid">
          <fgColor rgb="00F3DED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Betriebskosten pro Monat</a:t>
            </a:r>
          </a:p>
        </rich>
      </tx>
    </title>
    <plotArea>
      <barChart>
        <barDir val="bar"/>
        <grouping val="clustered"/>
        <ser>
          <idx val="0"/>
          <order val="0"/>
          <spPr>
            <a:ln>
              <a:prstDash val="solid"/>
            </a:ln>
          </spPr>
          <cat>
            <numRef>
              <f>'Eingaben'!$A$11:$A$17</f>
            </numRef>
          </cat>
          <val>
            <numRef>
              <f>'Eingaben'!$B$11:$B$17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Kontostand über 12 Monate</a:t>
            </a:r>
          </a:p>
        </rich>
      </tx>
    </title>
    <plotArea>
      <lineChart>
        <grouping val="standard"/>
        <ser>
          <idx val="0"/>
          <order val="0"/>
          <spPr>
            <a:ln>
              <a:prstDash val="solid"/>
            </a:ln>
          </spPr>
          <marker>
            <symbol val="none"/>
            <spPr>
              <a:ln>
                <a:prstDash val="solid"/>
              </a:ln>
            </spPr>
          </marker>
          <cat>
            <numRef>
              <f>'Liquidität'!$A$6:$A$17</f>
            </numRef>
          </cat>
          <val>
            <numRef>
              <f>'Liquidität'!$G$6:$G$17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23</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B26"/>
  <sheetViews>
    <sheetView showGridLines="0" workbookViewId="0">
      <selection activeCell="A1" sqref="A1"/>
    </sheetView>
  </sheetViews>
  <sheetFormatPr baseColWidth="8" defaultRowHeight="15"/>
  <cols>
    <col width="16" customWidth="1" min="1" max="1"/>
    <col width="88" customWidth="1" min="2" max="2"/>
  </cols>
  <sheetData>
    <row r="1" ht="26" customHeight="1">
      <c r="A1" s="1" t="inlineStr">
        <is>
          <t>Stundensatz &amp; Steuerrücklage</t>
        </is>
      </c>
    </row>
    <row r="2">
      <c r="A2" s="2" t="inlineStr">
        <is>
          <t>Kalkulationsmappe für Einzelunternehmer und Solo-Selbstständige</t>
        </is>
      </c>
    </row>
    <row r="4" ht="20" customHeight="1">
      <c r="A4" s="3" t="inlineStr">
        <is>
          <t>SO GEHT'S</t>
        </is>
      </c>
      <c r="B4" s="4" t="n"/>
    </row>
    <row r="5" ht="15" customHeight="1">
      <c r="A5" s="5" t="inlineStr">
        <is>
          <t>Schritt 1</t>
        </is>
      </c>
      <c r="B5" s="6" t="inlineStr">
        <is>
          <t>Blatt «Eingaben» ausfüllen. Nur die gelben Felder — alles andere rechnet sich selbst.</t>
        </is>
      </c>
    </row>
    <row r="6" ht="15" customHeight="1">
      <c r="A6" s="5" t="inlineStr">
        <is>
          <t>Schritt 2</t>
        </is>
      </c>
      <c r="B6" s="6" t="inlineStr">
        <is>
          <t>Blatt «Stundensatz» lesen. Dort steht, was du mindestens verlangen musst.</t>
        </is>
      </c>
    </row>
    <row r="7" ht="15" customHeight="1">
      <c r="A7" s="5" t="inlineStr">
        <is>
          <t>Schritt 3</t>
        </is>
      </c>
      <c r="B7" s="6" t="inlineStr">
        <is>
          <t>Auf «Steuerrücklage» Monat für Monat deine echten Einnahmen eintragen.</t>
        </is>
      </c>
    </row>
    <row r="9" ht="20" customHeight="1">
      <c r="A9" s="3" t="inlineStr">
        <is>
          <t>DIE BLÄTTER</t>
        </is>
      </c>
      <c r="B9" s="4" t="n"/>
    </row>
    <row r="10" ht="15" customHeight="1">
      <c r="A10" s="5" t="inlineStr">
        <is>
          <t>Eingaben</t>
        </is>
      </c>
      <c r="B10" s="6" t="inlineStr">
        <is>
          <t>Deine Zahlen. Das einzige Blatt, das du zwingend ausfüllen musst.</t>
        </is>
      </c>
    </row>
    <row r="11" ht="15" customHeight="1">
      <c r="A11" s="5" t="inlineStr">
        <is>
          <t>Stundensatz</t>
        </is>
      </c>
      <c r="B11" s="6" t="inlineStr">
        <is>
          <t>Mindestsatz, Tagessatz, Abgleich mit deinem heutigen Satz, Sensitivitätstabelle.</t>
        </is>
      </c>
    </row>
    <row r="12" ht="15" customHeight="1">
      <c r="A12" s="5" t="inlineStr">
        <is>
          <t>Steuerrücklage</t>
        </is>
      </c>
      <c r="B12" s="6" t="inlineStr">
        <is>
          <t>Wie viel du monatlich für Einkommen- und Umsatzsteuer zurücklegen solltest.</t>
        </is>
      </c>
    </row>
    <row r="13" ht="15" customHeight="1">
      <c r="A13" s="5" t="inlineStr">
        <is>
          <t>Liquidität</t>
        </is>
      </c>
      <c r="B13" s="6" t="inlineStr">
        <is>
          <t>Kontostand über 12 Monate. Engpassmonate werden rot.</t>
        </is>
      </c>
    </row>
    <row r="14" ht="15" customHeight="1">
      <c r="A14" s="5" t="inlineStr">
        <is>
          <t>Auswertung</t>
        </is>
      </c>
      <c r="B14" s="6" t="inlineStr">
        <is>
          <t>Kostenstruktur und Kontostandsverlauf als Diagramm.</t>
        </is>
      </c>
    </row>
    <row r="15" ht="15" customHeight="1">
      <c r="A15" s="5" t="inlineStr">
        <is>
          <t>Hinweise</t>
        </is>
      </c>
      <c r="B15" s="6" t="inlineStr">
        <is>
          <t>Haftungsausschluss und Nutzungsbedingungen. Bitte einmal lesen.</t>
        </is>
      </c>
    </row>
    <row r="17" ht="20" customHeight="1">
      <c r="A17" s="3" t="inlineStr">
        <is>
          <t>FARBEN</t>
        </is>
      </c>
      <c r="B17" s="4" t="n"/>
    </row>
    <row r="18" ht="15" customHeight="1">
      <c r="A18" s="5" t="inlineStr">
        <is>
          <t>Gelb</t>
        </is>
      </c>
      <c r="B18" s="6" t="inlineStr">
        <is>
          <t>Hier trägst du etwas ein.</t>
        </is>
      </c>
    </row>
    <row r="19" ht="15" customHeight="1">
      <c r="A19" s="5" t="inlineStr">
        <is>
          <t>Schwarz</t>
        </is>
      </c>
      <c r="B19" s="6" t="inlineStr">
        <is>
          <t>Rechnet sich automatisch. Bitte nicht überschreiben.</t>
        </is>
      </c>
    </row>
    <row r="20" ht="15" customHeight="1">
      <c r="A20" s="5" t="inlineStr">
        <is>
          <t>Grün</t>
        </is>
      </c>
      <c r="B20" s="6" t="inlineStr">
        <is>
          <t>Holt den Wert von einem anderen Blatt.</t>
        </is>
      </c>
    </row>
    <row r="22" ht="20" customHeight="1">
      <c r="A22" s="3" t="inlineStr">
        <is>
          <t>BEISPIELWERTE</t>
        </is>
      </c>
      <c r="B22" s="4" t="n"/>
    </row>
    <row r="23" ht="30" customHeight="1">
      <c r="A23" s="5" t="inlineStr"/>
      <c r="B23" s="6" t="inlineStr">
        <is>
          <t>Die Mappe ist mit realistischen Beispielzahlen gefüllt, damit du sofort siehst, wie sie arbeitet. Überschreib sie mit deinen eigenen. Die Einnahmen auf dem Blatt «Steuerrücklage» sind ebenfalls nur ein Beispiel.</t>
        </is>
      </c>
    </row>
    <row r="25" ht="20" customHeight="1">
      <c r="A25" s="3" t="inlineStr">
        <is>
          <t>WICHTIG</t>
        </is>
      </c>
      <c r="B25" s="4" t="n"/>
    </row>
    <row r="26" ht="30" customHeight="1">
      <c r="A26" s="5" t="inlineStr"/>
      <c r="B26" s="6" t="inlineStr">
        <is>
          <t>Diese Mappe ist ein Kalkulationswerkzeug, kein steuerlicher Nachweis und keine Steuerberatung. Sie rechnet mit einem pauschalen Steuersatz und bildet deine persönliche Progression nicht exakt ab. Details auf dem Blatt «Hinweise».</t>
        </is>
      </c>
    </row>
  </sheetData>
  <pageMargins left="0.75" right="0.75" top="1" bottom="1" header="0.5" footer="0.5"/>
  <pageSetup orientation="portrait" fitToWidth="1"/>
</worksheet>
</file>

<file path=xl/worksheets/sheet2.xml><?xml version="1.0" encoding="utf-8"?>
<worksheet xmlns="http://schemas.openxmlformats.org/spreadsheetml/2006/main">
  <sheetPr>
    <outlinePr summaryBelow="1" summaryRight="1"/>
    <pageSetUpPr fitToPage="1"/>
  </sheetPr>
  <dimension ref="A1:D41"/>
  <sheetViews>
    <sheetView showGridLines="0" workbookViewId="0">
      <selection activeCell="A1" sqref="A1"/>
    </sheetView>
  </sheetViews>
  <sheetFormatPr baseColWidth="8" defaultRowHeight="15"/>
  <cols>
    <col width="40" customWidth="1" min="1" max="1"/>
    <col width="14" customWidth="1" min="2" max="2"/>
    <col width="4" customWidth="1" min="3" max="3"/>
    <col width="54" customWidth="1" min="4" max="4"/>
  </cols>
  <sheetData>
    <row r="1" ht="26" customHeight="1">
      <c r="A1" s="1" t="inlineStr">
        <is>
          <t>Eingaben</t>
        </is>
      </c>
    </row>
    <row r="2">
      <c r="A2" s="2" t="inlineStr">
        <is>
          <t>Nur die gelben Felder ausfüllen. Alles andere rechnet sich selbst.</t>
        </is>
      </c>
    </row>
    <row r="4" ht="20" customHeight="1">
      <c r="A4" s="3" t="inlineStr">
        <is>
          <t>Lebenshaltung — pro Monat, nach Steuern</t>
        </is>
      </c>
      <c r="B4" s="4" t="n"/>
      <c r="C4" s="4" t="n"/>
      <c r="D4" s="4" t="n"/>
    </row>
    <row r="5">
      <c r="A5" s="7" t="inlineStr">
        <is>
          <t>Gewünschtes Netto</t>
        </is>
      </c>
      <c r="B5" s="8" t="n">
        <v>2500</v>
      </c>
      <c r="D5" s="2" t="inlineStr">
        <is>
          <t>Was privat übrig bleiben soll</t>
        </is>
      </c>
    </row>
    <row r="6">
      <c r="A6" s="7" t="inlineStr">
        <is>
          <t>Krankenversicherung</t>
        </is>
      </c>
      <c r="B6" s="8" t="n">
        <v>600</v>
      </c>
      <c r="D6" s="2" t="inlineStr">
        <is>
          <t>Als Selbstständiger zahlst du sie selbst</t>
        </is>
      </c>
    </row>
    <row r="7">
      <c r="A7" s="7" t="inlineStr">
        <is>
          <t>Altersvorsorge</t>
        </is>
      </c>
      <c r="B7" s="8" t="n">
        <v>200</v>
      </c>
      <c r="D7" s="2" t="inlineStr">
        <is>
          <t>Rürup, ETF-Sparplan, Versorgungswerk …</t>
        </is>
      </c>
    </row>
    <row r="8">
      <c r="A8" s="5" t="inlineStr">
        <is>
          <t>Summe Lebenshaltung</t>
        </is>
      </c>
      <c r="B8" s="9">
        <f>SUM(B5:B7)</f>
        <v/>
      </c>
    </row>
    <row r="10" ht="20" customHeight="1">
      <c r="A10" s="3" t="inlineStr">
        <is>
          <t>Betriebskosten — pro Monat, ohne Umsatzsteuer</t>
        </is>
      </c>
      <c r="B10" s="4" t="n"/>
      <c r="C10" s="4" t="n"/>
      <c r="D10" s="4" t="n"/>
    </row>
    <row r="11">
      <c r="A11" s="7" t="inlineStr">
        <is>
          <t>Büro / Miete / Arbeitszimmer</t>
        </is>
      </c>
      <c r="B11" s="8" t="n">
        <v>150</v>
      </c>
    </row>
    <row r="12">
      <c r="A12" s="7" t="inlineStr">
        <is>
          <t>Software &amp; Abos</t>
        </is>
      </c>
      <c r="B12" s="8" t="n">
        <v>60</v>
      </c>
    </row>
    <row r="13">
      <c r="A13" s="7" t="inlineStr">
        <is>
          <t>Versicherungen (betrieblich)</t>
        </is>
      </c>
      <c r="B13" s="8" t="n">
        <v>80</v>
      </c>
    </row>
    <row r="14">
      <c r="A14" s="7" t="inlineStr">
        <is>
          <t>Fahrzeug &amp; Fahrtkosten</t>
        </is>
      </c>
      <c r="B14" s="8" t="n">
        <v>120</v>
      </c>
    </row>
    <row r="15">
      <c r="A15" s="7" t="inlineStr">
        <is>
          <t>Steuerberater / Buchhaltung</t>
        </is>
      </c>
      <c r="B15" s="8" t="n">
        <v>90</v>
      </c>
    </row>
    <row r="16">
      <c r="A16" s="7" t="inlineStr">
        <is>
          <t>Fortbildung</t>
        </is>
      </c>
      <c r="B16" s="8" t="n">
        <v>40</v>
      </c>
    </row>
    <row r="17">
      <c r="A17" s="7" t="inlineStr">
        <is>
          <t>Werkzeug, Material, Sonstiges</t>
        </is>
      </c>
      <c r="B17" s="8" t="n">
        <v>60</v>
      </c>
    </row>
    <row r="18">
      <c r="A18" s="5" t="inlineStr">
        <is>
          <t>Summe Betriebskosten</t>
        </is>
      </c>
      <c r="B18" s="9">
        <f>SUM(B11:B17)</f>
        <v/>
      </c>
    </row>
    <row r="20" ht="20" customHeight="1">
      <c r="A20" s="3" t="inlineStr">
        <is>
          <t>Steuern</t>
        </is>
      </c>
      <c r="B20" s="4" t="n"/>
      <c r="C20" s="4" t="n"/>
      <c r="D20" s="4" t="n"/>
    </row>
    <row r="21">
      <c r="A21" s="7" t="inlineStr">
        <is>
          <t>Steuersatz auf den Gewinn</t>
        </is>
      </c>
      <c r="B21" s="10" t="n">
        <v>0.3</v>
      </c>
      <c r="D21" s="2" t="inlineStr">
        <is>
          <t>Grobe Annahme. Bei kleineren Gewinnen eher 20–30 %</t>
        </is>
      </c>
    </row>
    <row r="22">
      <c r="A22" s="7" t="inlineStr">
        <is>
          <t>Umsatzsteuersatz</t>
        </is>
      </c>
      <c r="B22" s="10" t="n">
        <v>0.19</v>
      </c>
      <c r="D22" s="2" t="inlineStr">
        <is>
          <t>19 % Regelsatz, 7 % ermäßigt</t>
        </is>
      </c>
    </row>
    <row r="23">
      <c r="A23" s="7" t="inlineStr">
        <is>
          <t>Kleinunternehmer nach § 19 UStG</t>
        </is>
      </c>
      <c r="B23" s="11" t="inlineStr">
        <is>
          <t>Nein</t>
        </is>
      </c>
      <c r="D23" s="2" t="inlineStr">
        <is>
          <t>Bei «Ja» wird keine Umsatzsteuer berechnet</t>
        </is>
      </c>
    </row>
    <row r="25" ht="20" customHeight="1">
      <c r="A25" s="3" t="inlineStr">
        <is>
          <t>Arbeitszeit</t>
        </is>
      </c>
      <c r="B25" s="4" t="n"/>
      <c r="C25" s="4" t="n"/>
      <c r="D25" s="4" t="n"/>
    </row>
    <row r="26">
      <c r="A26" s="7" t="inlineStr">
        <is>
          <t>Wochenstunden</t>
        </is>
      </c>
      <c r="B26" s="12" t="n">
        <v>40</v>
      </c>
      <c r="D26" s="2" t="inlineStr">
        <is>
          <t>Was du tatsächlich arbeitest</t>
        </is>
      </c>
    </row>
    <row r="27">
      <c r="A27" s="7" t="inlineStr">
        <is>
          <t>Urlaubstage pro Jahr</t>
        </is>
      </c>
      <c r="B27" s="13" t="n">
        <v>30</v>
      </c>
    </row>
    <row r="28">
      <c r="A28" s="7" t="inlineStr">
        <is>
          <t>Krankheitstage pro Jahr</t>
        </is>
      </c>
      <c r="B28" s="13" t="n">
        <v>8</v>
      </c>
      <c r="D28" s="2" t="inlineStr">
        <is>
          <t>Lieber realistisch als optimistisch ansetzen</t>
        </is>
      </c>
    </row>
    <row r="29">
      <c r="A29" s="7" t="inlineStr">
        <is>
          <t>Feiertage pro Jahr</t>
        </is>
      </c>
      <c r="B29" s="13" t="n">
        <v>10</v>
      </c>
      <c r="D29" s="2" t="inlineStr">
        <is>
          <t>Bundesland-abhängig, meist 9–13</t>
        </is>
      </c>
    </row>
    <row r="30">
      <c r="A30" s="7" t="inlineStr">
        <is>
          <t>Produktivquote</t>
        </is>
      </c>
      <c r="B30" s="10" t="n">
        <v>0.6</v>
      </c>
      <c r="D30" s="2" t="inlineStr">
        <is>
          <t>Anteil deiner Zeit, den du abrechnen kannst</t>
        </is>
      </c>
    </row>
    <row r="31">
      <c r="A31" s="7" t="inlineStr">
        <is>
          <t>Gewinnaufschlag / Risikopuffer</t>
        </is>
      </c>
      <c r="B31" s="10" t="n">
        <v>0.1</v>
      </c>
      <c r="D31" s="2" t="inlineStr">
        <is>
          <t>Rücklage für Investitionen und schlechte Monate</t>
        </is>
      </c>
    </row>
    <row r="33" ht="20" customHeight="1">
      <c r="A33" s="3" t="inlineStr">
        <is>
          <t>Abgleich &amp; Startwerte</t>
        </is>
      </c>
      <c r="B33" s="4" t="n"/>
      <c r="C33" s="4" t="n"/>
      <c r="D33" s="4" t="n"/>
    </row>
    <row r="34">
      <c r="A34" s="7" t="inlineStr">
        <is>
          <t>Aktueller Stundensatz</t>
        </is>
      </c>
      <c r="B34" s="14" t="n">
        <v>60</v>
      </c>
      <c r="D34" s="2" t="inlineStr">
        <is>
          <t>Was du heute verlangst — für den Vergleich</t>
        </is>
      </c>
    </row>
    <row r="35">
      <c r="A35" s="7" t="inlineStr">
        <is>
          <t>Startkontostand</t>
        </is>
      </c>
      <c r="B35" s="8" t="n">
        <v>3000</v>
      </c>
      <c r="D35" s="2" t="inlineStr">
        <is>
          <t>Für den Liquiditätsplan</t>
        </is>
      </c>
    </row>
    <row r="37">
      <c r="A37" s="15" t="inlineStr">
        <is>
          <t>Warum die Produktivquote alles entscheidet</t>
        </is>
      </c>
    </row>
    <row r="38">
      <c r="A38" s="16" t="inlineStr">
        <is>
          <t>Wer 40 Stunden pro Woche im Betrieb ist, rechnet davon selten mehr als 24 ab — der Rest geht für Angebote, Buchhaltung, Fahrten, Akquise und Leerlauf drauf. 100 % gibt es nicht. Realistisch sind 50–70 %. Wie stark dieser eine Wert durchschlägt, siehst du in der Tabelle unten auf dem Blatt «Stundensatz».</t>
        </is>
      </c>
    </row>
    <row r="39"/>
    <row r="40"/>
    <row r="41"/>
  </sheetData>
  <mergeCells count="1">
    <mergeCell ref="A38:D41"/>
  </mergeCells>
  <dataValidations count="1">
    <dataValidation sqref="B23" showDropDown="0" showInputMessage="0" showErrorMessage="0" allowBlank="0" type="list">
      <formula1>"Ja,Nein"</formula1>
    </dataValidation>
  </dataValidations>
  <pageMargins left="0.75" right="0.75" top="1" bottom="1" header="0.5" footer="0.5"/>
  <pageSetup orientation="portrait" fitToWidth="1"/>
</worksheet>
</file>

<file path=xl/worksheets/sheet3.xml><?xml version="1.0" encoding="utf-8"?>
<worksheet xmlns="http://schemas.openxmlformats.org/spreadsheetml/2006/main">
  <sheetPr>
    <outlinePr summaryBelow="1" summaryRight="1"/>
    <pageSetUpPr fitToPage="1"/>
  </sheetPr>
  <dimension ref="A1:D40"/>
  <sheetViews>
    <sheetView showGridLines="0" workbookViewId="0">
      <selection activeCell="A1" sqref="A1"/>
    </sheetView>
  </sheetViews>
  <sheetFormatPr baseColWidth="8" defaultRowHeight="15"/>
  <cols>
    <col width="40" customWidth="1" min="1" max="1"/>
    <col width="16" customWidth="1" min="2" max="2"/>
    <col width="4" customWidth="1" min="3" max="3"/>
    <col width="54" customWidth="1" min="4" max="4"/>
  </cols>
  <sheetData>
    <row r="1" ht="26" customHeight="1">
      <c r="A1" s="1" t="inlineStr">
        <is>
          <t>Dein Stundensatz</t>
        </is>
      </c>
    </row>
    <row r="2">
      <c r="A2" s="2" t="inlineStr">
        <is>
          <t>Ergebnis aus dem Blatt «Eingaben». Hier musst du nichts eintragen.</t>
        </is>
      </c>
    </row>
    <row r="4" ht="20" customHeight="1">
      <c r="A4" s="3" t="inlineStr">
        <is>
          <t>Was du im Jahr erwirtschaften musst</t>
        </is>
      </c>
      <c r="B4" s="4" t="n"/>
      <c r="C4" s="4" t="n"/>
      <c r="D4" s="4" t="n"/>
    </row>
    <row r="5">
      <c r="A5" s="7" t="inlineStr">
        <is>
          <t>Lebenshaltung pro Jahr</t>
        </is>
      </c>
      <c r="B5" s="17">
        <f>Eingaben!B8*12</f>
        <v/>
      </c>
    </row>
    <row r="6">
      <c r="A6" s="7" t="inlineStr">
        <is>
          <t>Nötiger Gewinn vor Steuern</t>
        </is>
      </c>
      <c r="B6" s="18">
        <f>B5/(1-Eingaben!B21)</f>
        <v/>
      </c>
      <c r="D6" s="2" t="inlineStr">
        <is>
          <t>Weil auf den Gewinn noch Steuern anfallen</t>
        </is>
      </c>
    </row>
    <row r="7">
      <c r="A7" s="7" t="inlineStr">
        <is>
          <t>Betriebskosten pro Jahr</t>
        </is>
      </c>
      <c r="B7" s="17">
        <f>Eingaben!B18*12</f>
        <v/>
      </c>
    </row>
    <row r="8">
      <c r="A8" s="7" t="inlineStr">
        <is>
          <t>Zwischensumme</t>
        </is>
      </c>
      <c r="B8" s="18">
        <f>B6+B7</f>
        <v/>
      </c>
    </row>
    <row r="9">
      <c r="A9" s="7" t="inlineStr">
        <is>
          <t>Gewinnaufschlag / Puffer</t>
        </is>
      </c>
      <c r="B9" s="18">
        <f>B8*Eingaben!B31</f>
        <v/>
      </c>
    </row>
    <row r="10">
      <c r="A10" s="5" t="inlineStr">
        <is>
          <t>Nötiger Jahresumsatz (netto)</t>
        </is>
      </c>
      <c r="B10" s="19">
        <f>B8+B9</f>
        <v/>
      </c>
    </row>
    <row r="12" ht="20" customHeight="1">
      <c r="A12" s="3" t="inlineStr">
        <is>
          <t>Wie viel Zeit du wirklich abrechnen kannst</t>
        </is>
      </c>
      <c r="B12" s="4" t="n"/>
      <c r="C12" s="4" t="n"/>
      <c r="D12" s="4" t="n"/>
    </row>
    <row r="13">
      <c r="A13" s="7" t="inlineStr">
        <is>
          <t>Arbeitstage im Jahr</t>
        </is>
      </c>
      <c r="B13" s="20">
        <f>260-Eingaben!B27-Eingaben!B28-Eingaben!B29</f>
        <v/>
      </c>
      <c r="D13" s="2" t="inlineStr">
        <is>
          <t>260 Werktage minus Urlaub, Krankheit, Feiertage</t>
        </is>
      </c>
    </row>
    <row r="14">
      <c r="A14" s="7" t="inlineStr">
        <is>
          <t>Stunden pro Tag</t>
        </is>
      </c>
      <c r="B14" s="21">
        <f>Eingaben!B26/5</f>
        <v/>
      </c>
    </row>
    <row r="15">
      <c r="A15" s="7" t="inlineStr">
        <is>
          <t>Anwesenheitsstunden im Jahr</t>
        </is>
      </c>
      <c r="B15" s="22">
        <f>B13*B14</f>
        <v/>
      </c>
    </row>
    <row r="16">
      <c r="A16" s="5" t="inlineStr">
        <is>
          <t>Davon abrechenbar</t>
        </is>
      </c>
      <c r="B16" s="23">
        <f>B15*Eingaben!B30</f>
        <v/>
      </c>
    </row>
    <row r="18" ht="20" customHeight="1">
      <c r="A18" s="3" t="inlineStr">
        <is>
          <t>Ergebnis</t>
        </is>
      </c>
      <c r="B18" s="4" t="n"/>
      <c r="C18" s="4" t="n"/>
      <c r="D18" s="4" t="n"/>
    </row>
    <row r="19" ht="24" customHeight="1">
      <c r="A19" s="24" t="inlineStr">
        <is>
          <t>MINDEST-STUNDENSATZ (netto)</t>
        </is>
      </c>
      <c r="B19" s="25">
        <f>IF(B16&gt;0,B10/B16,0)</f>
        <v/>
      </c>
      <c r="D19" s="2" t="inlineStr">
        <is>
          <t>Darunter arbeitest du unter deinen Kosten</t>
        </is>
      </c>
    </row>
    <row r="20">
      <c r="A20" s="7" t="inlineStr">
        <is>
          <t>Tagessatz</t>
        </is>
      </c>
      <c r="B20" s="18">
        <f>B19*B14</f>
        <v/>
      </c>
    </row>
    <row r="21">
      <c r="A21" s="7" t="inlineStr">
        <is>
          <t>Stundensatz brutto (mit Umsatzsteuer)</t>
        </is>
      </c>
      <c r="B21" s="26">
        <f>IF(Eingaben!B23="Ja",B19,B19*(1+Eingaben!B22))</f>
        <v/>
      </c>
      <c r="D21" s="2" t="inlineStr">
        <is>
          <t>Das steht auf der Rechnung</t>
        </is>
      </c>
    </row>
    <row r="23" ht="20" customHeight="1">
      <c r="A23" s="3" t="inlineStr">
        <is>
          <t>Abgleich mit deinem heutigen Satz</t>
        </is>
      </c>
      <c r="B23" s="4" t="n"/>
      <c r="C23" s="4" t="n"/>
      <c r="D23" s="4" t="n"/>
    </row>
    <row r="24">
      <c r="A24" s="7" t="inlineStr">
        <is>
          <t>Aktueller Stundensatz</t>
        </is>
      </c>
      <c r="B24" s="27">
        <f>Eingaben!B34</f>
        <v/>
      </c>
    </row>
    <row r="25">
      <c r="A25" s="7" t="inlineStr">
        <is>
          <t>Differenz je Stunde</t>
        </is>
      </c>
      <c r="B25" s="26">
        <f>B24-B19</f>
        <v/>
      </c>
    </row>
    <row r="26">
      <c r="A26" s="5" t="inlineStr">
        <is>
          <t>Differenz im Jahr</t>
        </is>
      </c>
      <c r="B26" s="9">
        <f>B25*B16</f>
        <v/>
      </c>
    </row>
    <row r="27">
      <c r="A27" s="5" t="inlineStr">
        <is>
          <t>Bewertung</t>
        </is>
      </c>
      <c r="B27" s="28">
        <f>IF(B24&gt;=B19,"Dein Satz trägt.",IF(B24&gt;=B19*0.85,"Knapp kalkuliert — ein Auftragsloch reißt dich ins Minus.","Unterdeckung — du arbeitest die Differenz unbezahlt ab."))</f>
        <v/>
      </c>
    </row>
    <row r="29" ht="20" customHeight="1">
      <c r="A29" s="3" t="inlineStr">
        <is>
          <t>Was passiert, wenn sich die Produktivquote ändert</t>
        </is>
      </c>
      <c r="B29" s="4" t="n"/>
      <c r="C29" s="4" t="n"/>
      <c r="D29" s="4" t="n"/>
    </row>
    <row r="30">
      <c r="A30" s="29" t="inlineStr">
        <is>
          <t>Produktivquote</t>
        </is>
      </c>
      <c r="B30" s="30" t="inlineStr">
        <is>
          <t>Abrechenbare Stunden</t>
        </is>
      </c>
      <c r="C30" s="30" t="inlineStr">
        <is>
          <t>Nötiger Stundensatz</t>
        </is>
      </c>
      <c r="D30" s="30" t="inlineStr">
        <is>
          <t>Tagessatz</t>
        </is>
      </c>
    </row>
    <row r="31">
      <c r="A31" s="31" t="n">
        <v>0.4</v>
      </c>
      <c r="B31" s="22">
        <f>$B$15*A31</f>
        <v/>
      </c>
      <c r="C31" s="26">
        <f>IF(B31&gt;0,$B$10/B31,0)</f>
        <v/>
      </c>
      <c r="D31" s="18">
        <f>C31*$B$14</f>
        <v/>
      </c>
    </row>
    <row r="32">
      <c r="A32" s="31" t="n">
        <v>0.45</v>
      </c>
      <c r="B32" s="22">
        <f>$B$15*A32</f>
        <v/>
      </c>
      <c r="C32" s="26">
        <f>IF(B32&gt;0,$B$10/B32,0)</f>
        <v/>
      </c>
      <c r="D32" s="18">
        <f>C32*$B$14</f>
        <v/>
      </c>
    </row>
    <row r="33">
      <c r="A33" s="31" t="n">
        <v>0.5</v>
      </c>
      <c r="B33" s="22">
        <f>$B$15*A33</f>
        <v/>
      </c>
      <c r="C33" s="26">
        <f>IF(B33&gt;0,$B$10/B33,0)</f>
        <v/>
      </c>
      <c r="D33" s="18">
        <f>C33*$B$14</f>
        <v/>
      </c>
    </row>
    <row r="34">
      <c r="A34" s="31" t="n">
        <v>0.55</v>
      </c>
      <c r="B34" s="22">
        <f>$B$15*A34</f>
        <v/>
      </c>
      <c r="C34" s="26">
        <f>IF(B34&gt;0,$B$10/B34,0)</f>
        <v/>
      </c>
      <c r="D34" s="18">
        <f>C34*$B$14</f>
        <v/>
      </c>
    </row>
    <row r="35">
      <c r="A35" s="31" t="n">
        <v>0.6</v>
      </c>
      <c r="B35" s="22">
        <f>$B$15*A35</f>
        <v/>
      </c>
      <c r="C35" s="26">
        <f>IF(B35&gt;0,$B$10/B35,0)</f>
        <v/>
      </c>
      <c r="D35" s="18">
        <f>C35*$B$14</f>
        <v/>
      </c>
    </row>
    <row r="36">
      <c r="A36" s="31" t="n">
        <v>0.65</v>
      </c>
      <c r="B36" s="22">
        <f>$B$15*A36</f>
        <v/>
      </c>
      <c r="C36" s="26">
        <f>IF(B36&gt;0,$B$10/B36,0)</f>
        <v/>
      </c>
      <c r="D36" s="18">
        <f>C36*$B$14</f>
        <v/>
      </c>
    </row>
    <row r="37">
      <c r="A37" s="31" t="n">
        <v>0.7</v>
      </c>
      <c r="B37" s="22">
        <f>$B$15*A37</f>
        <v/>
      </c>
      <c r="C37" s="26">
        <f>IF(B37&gt;0,$B$10/B37,0)</f>
        <v/>
      </c>
      <c r="D37" s="18">
        <f>C37*$B$14</f>
        <v/>
      </c>
    </row>
    <row r="38">
      <c r="A38" s="31" t="n">
        <v>0.75</v>
      </c>
      <c r="B38" s="22">
        <f>$B$15*A38</f>
        <v/>
      </c>
      <c r="C38" s="26">
        <f>IF(B38&gt;0,$B$10/B38,0)</f>
        <v/>
      </c>
      <c r="D38" s="18">
        <f>C38*$B$14</f>
        <v/>
      </c>
    </row>
    <row r="39">
      <c r="A39" s="31" t="n">
        <v>0.8</v>
      </c>
      <c r="B39" s="22">
        <f>$B$15*A39</f>
        <v/>
      </c>
      <c r="C39" s="26">
        <f>IF(B39&gt;0,$B$10/B39,0)</f>
        <v/>
      </c>
      <c r="D39" s="18">
        <f>C39*$B$14</f>
        <v/>
      </c>
    </row>
    <row r="40">
      <c r="A40" s="31" t="n">
        <v>0.85</v>
      </c>
      <c r="B40" s="22">
        <f>$B$15*A40</f>
        <v/>
      </c>
      <c r="C40" s="26">
        <f>IF(B40&gt;0,$B$10/B40,0)</f>
        <v/>
      </c>
      <c r="D40" s="18">
        <f>C40*$B$14</f>
        <v/>
      </c>
    </row>
  </sheetData>
  <mergeCells count="1">
    <mergeCell ref="B27:D27"/>
  </mergeCells>
  <conditionalFormatting sqref="B26">
    <cfRule type="cellIs" priority="1" operator="lessThan" dxfId="0">
      <formula>0</formula>
    </cfRule>
  </conditionalFormatting>
  <conditionalFormatting sqref="A31:D40">
    <cfRule type="expression" priority="2" dxfId="1">
      <formula>ROUND($A31,2)=ROUND(Eingaben!$B$30,2)</formula>
    </cfRule>
  </conditionalFormatting>
  <pageMargins left="0.75" right="0.75" top="1" bottom="1" header="0.5" footer="0.5"/>
  <pageSetup orientation="portrait" fitToWidth="1"/>
</worksheet>
</file>

<file path=xl/worksheets/sheet4.xml><?xml version="1.0" encoding="utf-8"?>
<worksheet xmlns="http://schemas.openxmlformats.org/spreadsheetml/2006/main">
  <sheetPr>
    <outlinePr summaryBelow="1" summaryRight="1"/>
    <pageSetUpPr fitToPage="1"/>
  </sheetPr>
  <dimension ref="A1:H23"/>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6" customWidth="1" min="3" max="3"/>
    <col width="14" customWidth="1" min="4" max="4"/>
    <col width="17" customWidth="1" min="5" max="5"/>
    <col width="17" customWidth="1" min="6" max="6"/>
    <col width="15" customWidth="1" min="7" max="7"/>
    <col width="16" customWidth="1" min="8" max="8"/>
  </cols>
  <sheetData>
    <row r="1" ht="26" customHeight="1">
      <c r="A1" s="1" t="inlineStr">
        <is>
          <t>Steuerrücklage</t>
        </is>
      </c>
    </row>
    <row r="2">
      <c r="A2" s="2" t="inlineStr">
        <is>
          <t>Trag jeden Monat deine echten Einnahmen ein. Der Rest rechnet sich.</t>
        </is>
      </c>
    </row>
    <row r="3">
      <c r="A3" s="32" t="inlineStr">
        <is>
          <t>Die Einnahmen unten sind Beispielwerte. Bitte durch deine eigenen Zahlen ersetzen.</t>
        </is>
      </c>
    </row>
    <row r="4" ht="30" customHeight="1">
      <c r="A4" s="33" t="inlineStr">
        <is>
          <t>Monat</t>
        </is>
      </c>
      <c r="B4" s="34" t="inlineStr">
        <is>
          <t>Einnahmen netto</t>
        </is>
      </c>
      <c r="C4" s="34" t="inlineStr">
        <is>
          <t>Betriebsausgaben</t>
        </is>
      </c>
      <c r="D4" s="34" t="inlineStr">
        <is>
          <t>Gewinn</t>
        </is>
      </c>
      <c r="E4" s="34" t="inlineStr">
        <is>
          <t>Rücklage Einkommensteuer</t>
        </is>
      </c>
      <c r="F4" s="34" t="inlineStr">
        <is>
          <t>Rücklage Umsatzsteuer</t>
        </is>
      </c>
      <c r="G4" s="34" t="inlineStr">
        <is>
          <t>Rücklage gesamt</t>
        </is>
      </c>
      <c r="H4" s="34" t="inlineStr">
        <is>
          <t>Kumuliert</t>
        </is>
      </c>
    </row>
    <row r="5">
      <c r="A5" s="7" t="inlineStr">
        <is>
          <t>Januar</t>
        </is>
      </c>
      <c r="B5" s="35" t="n">
        <v>5700</v>
      </c>
      <c r="C5" s="36">
        <f>Eingaben!$B$18</f>
        <v/>
      </c>
      <c r="D5" s="37">
        <f>B5-C5</f>
        <v/>
      </c>
      <c r="E5" s="37">
        <f>MAX(D5,0)*Eingaben!$B$21</f>
        <v/>
      </c>
      <c r="F5" s="37">
        <f>IF(Eingaben!$B$23="Ja",0,B5*Eingaben!$B$22)</f>
        <v/>
      </c>
      <c r="G5" s="37">
        <f>E5+F5</f>
        <v/>
      </c>
      <c r="H5" s="38">
        <f>G5</f>
        <v/>
      </c>
    </row>
    <row r="6">
      <c r="A6" s="7" t="inlineStr">
        <is>
          <t>Februar</t>
        </is>
      </c>
      <c r="B6" s="35" t="n">
        <v>5700</v>
      </c>
      <c r="C6" s="36">
        <f>Eingaben!$B$18</f>
        <v/>
      </c>
      <c r="D6" s="37">
        <f>B6-C6</f>
        <v/>
      </c>
      <c r="E6" s="37">
        <f>MAX(D6,0)*Eingaben!$B$21</f>
        <v/>
      </c>
      <c r="F6" s="37">
        <f>IF(Eingaben!$B$23="Ja",0,B6*Eingaben!$B$22)</f>
        <v/>
      </c>
      <c r="G6" s="37">
        <f>E6+F6</f>
        <v/>
      </c>
      <c r="H6" s="38">
        <f>H5+G6</f>
        <v/>
      </c>
    </row>
    <row r="7">
      <c r="A7" s="7" t="inlineStr">
        <is>
          <t>März</t>
        </is>
      </c>
      <c r="B7" s="35" t="n">
        <v>5700</v>
      </c>
      <c r="C7" s="36">
        <f>Eingaben!$B$18</f>
        <v/>
      </c>
      <c r="D7" s="37">
        <f>B7-C7</f>
        <v/>
      </c>
      <c r="E7" s="37">
        <f>MAX(D7,0)*Eingaben!$B$21</f>
        <v/>
      </c>
      <c r="F7" s="37">
        <f>IF(Eingaben!$B$23="Ja",0,B7*Eingaben!$B$22)</f>
        <v/>
      </c>
      <c r="G7" s="37">
        <f>E7+F7</f>
        <v/>
      </c>
      <c r="H7" s="38">
        <f>H6+G7</f>
        <v/>
      </c>
    </row>
    <row r="8">
      <c r="A8" s="7" t="inlineStr">
        <is>
          <t>April</t>
        </is>
      </c>
      <c r="B8" s="35" t="n">
        <v>5700</v>
      </c>
      <c r="C8" s="36">
        <f>Eingaben!$B$18</f>
        <v/>
      </c>
      <c r="D8" s="37">
        <f>B8-C8</f>
        <v/>
      </c>
      <c r="E8" s="37">
        <f>MAX(D8,0)*Eingaben!$B$21</f>
        <v/>
      </c>
      <c r="F8" s="37">
        <f>IF(Eingaben!$B$23="Ja",0,B8*Eingaben!$B$22)</f>
        <v/>
      </c>
      <c r="G8" s="37">
        <f>E8+F8</f>
        <v/>
      </c>
      <c r="H8" s="38">
        <f>H7+G8</f>
        <v/>
      </c>
    </row>
    <row r="9">
      <c r="A9" s="7" t="inlineStr">
        <is>
          <t>Mai</t>
        </is>
      </c>
      <c r="B9" s="35" t="n">
        <v>5700</v>
      </c>
      <c r="C9" s="36">
        <f>Eingaben!$B$18</f>
        <v/>
      </c>
      <c r="D9" s="37">
        <f>B9-C9</f>
        <v/>
      </c>
      <c r="E9" s="37">
        <f>MAX(D9,0)*Eingaben!$B$21</f>
        <v/>
      </c>
      <c r="F9" s="37">
        <f>IF(Eingaben!$B$23="Ja",0,B9*Eingaben!$B$22)</f>
        <v/>
      </c>
      <c r="G9" s="37">
        <f>E9+F9</f>
        <v/>
      </c>
      <c r="H9" s="38">
        <f>H8+G9</f>
        <v/>
      </c>
    </row>
    <row r="10">
      <c r="A10" s="7" t="inlineStr">
        <is>
          <t>Juni</t>
        </is>
      </c>
      <c r="B10" s="35" t="n">
        <v>5700</v>
      </c>
      <c r="C10" s="36">
        <f>Eingaben!$B$18</f>
        <v/>
      </c>
      <c r="D10" s="37">
        <f>B10-C10</f>
        <v/>
      </c>
      <c r="E10" s="37">
        <f>MAX(D10,0)*Eingaben!$B$21</f>
        <v/>
      </c>
      <c r="F10" s="37">
        <f>IF(Eingaben!$B$23="Ja",0,B10*Eingaben!$B$22)</f>
        <v/>
      </c>
      <c r="G10" s="37">
        <f>E10+F10</f>
        <v/>
      </c>
      <c r="H10" s="38">
        <f>H9+G10</f>
        <v/>
      </c>
    </row>
    <row r="11">
      <c r="A11" s="7" t="inlineStr">
        <is>
          <t>Juli</t>
        </is>
      </c>
      <c r="B11" s="35" t="n">
        <v>5700</v>
      </c>
      <c r="C11" s="36">
        <f>Eingaben!$B$18</f>
        <v/>
      </c>
      <c r="D11" s="37">
        <f>B11-C11</f>
        <v/>
      </c>
      <c r="E11" s="37">
        <f>MAX(D11,0)*Eingaben!$B$21</f>
        <v/>
      </c>
      <c r="F11" s="37">
        <f>IF(Eingaben!$B$23="Ja",0,B11*Eingaben!$B$22)</f>
        <v/>
      </c>
      <c r="G11" s="37">
        <f>E11+F11</f>
        <v/>
      </c>
      <c r="H11" s="38">
        <f>H10+G11</f>
        <v/>
      </c>
    </row>
    <row r="12">
      <c r="A12" s="7" t="inlineStr">
        <is>
          <t>August</t>
        </is>
      </c>
      <c r="B12" s="35" t="n">
        <v>5700</v>
      </c>
      <c r="C12" s="36">
        <f>Eingaben!$B$18</f>
        <v/>
      </c>
      <c r="D12" s="37">
        <f>B12-C12</f>
        <v/>
      </c>
      <c r="E12" s="37">
        <f>MAX(D12,0)*Eingaben!$B$21</f>
        <v/>
      </c>
      <c r="F12" s="37">
        <f>IF(Eingaben!$B$23="Ja",0,B12*Eingaben!$B$22)</f>
        <v/>
      </c>
      <c r="G12" s="37">
        <f>E12+F12</f>
        <v/>
      </c>
      <c r="H12" s="38">
        <f>H11+G12</f>
        <v/>
      </c>
    </row>
    <row r="13">
      <c r="A13" s="7" t="inlineStr">
        <is>
          <t>September</t>
        </is>
      </c>
      <c r="B13" s="35" t="n">
        <v>5700</v>
      </c>
      <c r="C13" s="36">
        <f>Eingaben!$B$18</f>
        <v/>
      </c>
      <c r="D13" s="37">
        <f>B13-C13</f>
        <v/>
      </c>
      <c r="E13" s="37">
        <f>MAX(D13,0)*Eingaben!$B$21</f>
        <v/>
      </c>
      <c r="F13" s="37">
        <f>IF(Eingaben!$B$23="Ja",0,B13*Eingaben!$B$22)</f>
        <v/>
      </c>
      <c r="G13" s="37">
        <f>E13+F13</f>
        <v/>
      </c>
      <c r="H13" s="38">
        <f>H12+G13</f>
        <v/>
      </c>
    </row>
    <row r="14">
      <c r="A14" s="7" t="inlineStr">
        <is>
          <t>Oktober</t>
        </is>
      </c>
      <c r="B14" s="35" t="n">
        <v>5700</v>
      </c>
      <c r="C14" s="36">
        <f>Eingaben!$B$18</f>
        <v/>
      </c>
      <c r="D14" s="37">
        <f>B14-C14</f>
        <v/>
      </c>
      <c r="E14" s="37">
        <f>MAX(D14,0)*Eingaben!$B$21</f>
        <v/>
      </c>
      <c r="F14" s="37">
        <f>IF(Eingaben!$B$23="Ja",0,B14*Eingaben!$B$22)</f>
        <v/>
      </c>
      <c r="G14" s="37">
        <f>E14+F14</f>
        <v/>
      </c>
      <c r="H14" s="38">
        <f>H13+G14</f>
        <v/>
      </c>
    </row>
    <row r="15">
      <c r="A15" s="7" t="inlineStr">
        <is>
          <t>November</t>
        </is>
      </c>
      <c r="B15" s="35" t="n">
        <v>5700</v>
      </c>
      <c r="C15" s="36">
        <f>Eingaben!$B$18</f>
        <v/>
      </c>
      <c r="D15" s="37">
        <f>B15-C15</f>
        <v/>
      </c>
      <c r="E15" s="37">
        <f>MAX(D15,0)*Eingaben!$B$21</f>
        <v/>
      </c>
      <c r="F15" s="37">
        <f>IF(Eingaben!$B$23="Ja",0,B15*Eingaben!$B$22)</f>
        <v/>
      </c>
      <c r="G15" s="37">
        <f>E15+F15</f>
        <v/>
      </c>
      <c r="H15" s="38">
        <f>H14+G15</f>
        <v/>
      </c>
    </row>
    <row r="16">
      <c r="A16" s="7" t="inlineStr">
        <is>
          <t>Dezember</t>
        </is>
      </c>
      <c r="B16" s="35" t="n">
        <v>5700</v>
      </c>
      <c r="C16" s="36">
        <f>Eingaben!$B$18</f>
        <v/>
      </c>
      <c r="D16" s="37">
        <f>B16-C16</f>
        <v/>
      </c>
      <c r="E16" s="37">
        <f>MAX(D16,0)*Eingaben!$B$21</f>
        <v/>
      </c>
      <c r="F16" s="37">
        <f>IF(Eingaben!$B$23="Ja",0,B16*Eingaben!$B$22)</f>
        <v/>
      </c>
      <c r="G16" s="37">
        <f>E16+F16</f>
        <v/>
      </c>
      <c r="H16" s="38">
        <f>H15+G16</f>
        <v/>
      </c>
    </row>
    <row r="17">
      <c r="A17" s="5" t="inlineStr">
        <is>
          <t>Summe</t>
        </is>
      </c>
      <c r="B17" s="39">
        <f>SUM(B5:B16)</f>
        <v/>
      </c>
      <c r="D17" s="39">
        <f>SUM(D5:D16)</f>
        <v/>
      </c>
      <c r="E17" s="39">
        <f>SUM(E5:E16)</f>
        <v/>
      </c>
      <c r="F17" s="39">
        <f>SUM(F5:F16)</f>
        <v/>
      </c>
      <c r="G17" s="39">
        <f>SUM(G5:G16)</f>
        <v/>
      </c>
    </row>
    <row r="19" ht="20" customHeight="1">
      <c r="A19" s="3" t="inlineStr">
        <is>
          <t>Abgleich mit deinem Rücklagenkonto</t>
        </is>
      </c>
      <c r="B19" s="4" t="n"/>
      <c r="C19" s="4" t="n"/>
      <c r="D19" s="4" t="n"/>
      <c r="E19" s="4" t="n"/>
      <c r="F19" s="4" t="n"/>
      <c r="G19" s="4" t="n"/>
      <c r="H19" s="4" t="n"/>
    </row>
    <row r="20">
      <c r="A20" s="7" t="inlineStr">
        <is>
          <t>Soll-Stand Rücklage</t>
        </is>
      </c>
      <c r="B20" s="18">
        <f>H16</f>
        <v/>
      </c>
      <c r="D20" s="2" t="inlineStr">
        <is>
          <t>Was zurückgelegt sein müsste</t>
        </is>
      </c>
    </row>
    <row r="21">
      <c r="A21" s="7" t="inlineStr">
        <is>
          <t>Ist-Stand auf dem Konto</t>
        </is>
      </c>
      <c r="B21" s="8" t="n">
        <v>0</v>
      </c>
      <c r="D21" s="2" t="inlineStr">
        <is>
          <t>Was tatsächlich da liegt</t>
        </is>
      </c>
    </row>
    <row r="22">
      <c r="A22" s="5" t="inlineStr">
        <is>
          <t>Differenz</t>
        </is>
      </c>
      <c r="B22" s="9">
        <f>B21-B20</f>
        <v/>
      </c>
    </row>
    <row r="23">
      <c r="A23" s="5" t="inlineStr">
        <is>
          <t>Status</t>
        </is>
      </c>
      <c r="B23" s="5">
        <f>IF(B21&gt;=B20,"Rücklage reicht.","Es fehlen "&amp;TEXT(B20-B21,"#,##0")&amp;" € auf dem Rücklagenkonto.")</f>
        <v/>
      </c>
    </row>
  </sheetData>
  <mergeCells count="2">
    <mergeCell ref="B23:E23"/>
    <mergeCell ref="A3:H3"/>
  </mergeCells>
  <conditionalFormatting sqref="B22">
    <cfRule type="cellIs" priority="1" operator="lessThan" dxfId="0">
      <formula>0</formula>
    </cfRule>
  </conditionalFormatting>
  <pageMargins left="0.75" right="0.75" top="1" bottom="1" header="0.5" footer="0.5"/>
  <pageSetup orientation="portrait" fitToWidth="1"/>
</worksheet>
</file>

<file path=xl/worksheets/sheet5.xml><?xml version="1.0" encoding="utf-8"?>
<worksheet xmlns="http://schemas.openxmlformats.org/spreadsheetml/2006/main">
  <sheetPr>
    <outlinePr summaryBelow="1" summaryRight="1"/>
    <pageSetUpPr fitToPage="1"/>
  </sheetPr>
  <dimension ref="A1:G21"/>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4" customWidth="1" min="6" max="6"/>
    <col width="16" customWidth="1" min="7" max="7"/>
  </cols>
  <sheetData>
    <row r="1" ht="26" customHeight="1">
      <c r="A1" s="1" t="inlineStr">
        <is>
          <t>Liquiditätsplan</t>
        </is>
      </c>
    </row>
    <row r="2">
      <c r="A2" s="2" t="inlineStr">
        <is>
          <t>Zeigt, in welchem Monat es eng wird — bevor es eng wird.</t>
        </is>
      </c>
    </row>
    <row r="3">
      <c r="A3" s="5" t="inlineStr">
        <is>
          <t>Startkontostand</t>
        </is>
      </c>
      <c r="B3" s="40">
        <f>Eingaben!B35</f>
        <v/>
      </c>
    </row>
    <row r="5" ht="28" customHeight="1">
      <c r="A5" s="33" t="inlineStr">
        <is>
          <t>Monat</t>
        </is>
      </c>
      <c r="B5" s="34" t="inlineStr">
        <is>
          <t>Einnahmen brutto</t>
        </is>
      </c>
      <c r="C5" s="34" t="inlineStr">
        <is>
          <t>Betriebsausgaben</t>
        </is>
      </c>
      <c r="D5" s="34" t="inlineStr">
        <is>
          <t>Privatentnahme</t>
        </is>
      </c>
      <c r="E5" s="34" t="inlineStr">
        <is>
          <t>Steuerrücklage</t>
        </is>
      </c>
      <c r="F5" s="34" t="inlineStr">
        <is>
          <t>Saldo</t>
        </is>
      </c>
      <c r="G5" s="34" t="inlineStr">
        <is>
          <t>Kontostand</t>
        </is>
      </c>
    </row>
    <row r="6">
      <c r="A6" s="7" t="inlineStr">
        <is>
          <t>Januar</t>
        </is>
      </c>
      <c r="B6" s="36">
        <f>IF(Eingaben!$B$23="Ja",'Steuerrücklage'!B5,'Steuerrücklage'!B5*(1+Eingaben!$B$22))</f>
        <v/>
      </c>
      <c r="C6" s="36">
        <f>'Steuerrücklage'!C5</f>
        <v/>
      </c>
      <c r="D6" s="36">
        <f>Eingaben!$B$8</f>
        <v/>
      </c>
      <c r="E6" s="36">
        <f>'Steuerrücklage'!G5</f>
        <v/>
      </c>
      <c r="F6" s="37">
        <f>B6-C6-D6-E6</f>
        <v/>
      </c>
      <c r="G6" s="38">
        <f>$B$3+F6</f>
        <v/>
      </c>
    </row>
    <row r="7">
      <c r="A7" s="7" t="inlineStr">
        <is>
          <t>Februar</t>
        </is>
      </c>
      <c r="B7" s="36">
        <f>IF(Eingaben!$B$23="Ja",'Steuerrücklage'!B6,'Steuerrücklage'!B6*(1+Eingaben!$B$22))</f>
        <v/>
      </c>
      <c r="C7" s="36">
        <f>'Steuerrücklage'!C6</f>
        <v/>
      </c>
      <c r="D7" s="36">
        <f>Eingaben!$B$8</f>
        <v/>
      </c>
      <c r="E7" s="36">
        <f>'Steuerrücklage'!G6</f>
        <v/>
      </c>
      <c r="F7" s="37">
        <f>B7-C7-D7-E7</f>
        <v/>
      </c>
      <c r="G7" s="38">
        <f>G6+F7</f>
        <v/>
      </c>
    </row>
    <row r="8">
      <c r="A8" s="7" t="inlineStr">
        <is>
          <t>März</t>
        </is>
      </c>
      <c r="B8" s="36">
        <f>IF(Eingaben!$B$23="Ja",'Steuerrücklage'!B7,'Steuerrücklage'!B7*(1+Eingaben!$B$22))</f>
        <v/>
      </c>
      <c r="C8" s="36">
        <f>'Steuerrücklage'!C7</f>
        <v/>
      </c>
      <c r="D8" s="36">
        <f>Eingaben!$B$8</f>
        <v/>
      </c>
      <c r="E8" s="36">
        <f>'Steuerrücklage'!G7</f>
        <v/>
      </c>
      <c r="F8" s="37">
        <f>B8-C8-D8-E8</f>
        <v/>
      </c>
      <c r="G8" s="38">
        <f>G7+F8</f>
        <v/>
      </c>
    </row>
    <row r="9">
      <c r="A9" s="7" t="inlineStr">
        <is>
          <t>April</t>
        </is>
      </c>
      <c r="B9" s="36">
        <f>IF(Eingaben!$B$23="Ja",'Steuerrücklage'!B8,'Steuerrücklage'!B8*(1+Eingaben!$B$22))</f>
        <v/>
      </c>
      <c r="C9" s="36">
        <f>'Steuerrücklage'!C8</f>
        <v/>
      </c>
      <c r="D9" s="36">
        <f>Eingaben!$B$8</f>
        <v/>
      </c>
      <c r="E9" s="36">
        <f>'Steuerrücklage'!G8</f>
        <v/>
      </c>
      <c r="F9" s="37">
        <f>B9-C9-D9-E9</f>
        <v/>
      </c>
      <c r="G9" s="38">
        <f>G8+F9</f>
        <v/>
      </c>
    </row>
    <row r="10">
      <c r="A10" s="7" t="inlineStr">
        <is>
          <t>Mai</t>
        </is>
      </c>
      <c r="B10" s="36">
        <f>IF(Eingaben!$B$23="Ja",'Steuerrücklage'!B9,'Steuerrücklage'!B9*(1+Eingaben!$B$22))</f>
        <v/>
      </c>
      <c r="C10" s="36">
        <f>'Steuerrücklage'!C9</f>
        <v/>
      </c>
      <c r="D10" s="36">
        <f>Eingaben!$B$8</f>
        <v/>
      </c>
      <c r="E10" s="36">
        <f>'Steuerrücklage'!G9</f>
        <v/>
      </c>
      <c r="F10" s="37">
        <f>B10-C10-D10-E10</f>
        <v/>
      </c>
      <c r="G10" s="38">
        <f>G9+F10</f>
        <v/>
      </c>
    </row>
    <row r="11">
      <c r="A11" s="7" t="inlineStr">
        <is>
          <t>Juni</t>
        </is>
      </c>
      <c r="B11" s="36">
        <f>IF(Eingaben!$B$23="Ja",'Steuerrücklage'!B10,'Steuerrücklage'!B10*(1+Eingaben!$B$22))</f>
        <v/>
      </c>
      <c r="C11" s="36">
        <f>'Steuerrücklage'!C10</f>
        <v/>
      </c>
      <c r="D11" s="36">
        <f>Eingaben!$B$8</f>
        <v/>
      </c>
      <c r="E11" s="36">
        <f>'Steuerrücklage'!G10</f>
        <v/>
      </c>
      <c r="F11" s="37">
        <f>B11-C11-D11-E11</f>
        <v/>
      </c>
      <c r="G11" s="38">
        <f>G10+F11</f>
        <v/>
      </c>
    </row>
    <row r="12">
      <c r="A12" s="7" t="inlineStr">
        <is>
          <t>Juli</t>
        </is>
      </c>
      <c r="B12" s="36">
        <f>IF(Eingaben!$B$23="Ja",'Steuerrücklage'!B11,'Steuerrücklage'!B11*(1+Eingaben!$B$22))</f>
        <v/>
      </c>
      <c r="C12" s="36">
        <f>'Steuerrücklage'!C11</f>
        <v/>
      </c>
      <c r="D12" s="36">
        <f>Eingaben!$B$8</f>
        <v/>
      </c>
      <c r="E12" s="36">
        <f>'Steuerrücklage'!G11</f>
        <v/>
      </c>
      <c r="F12" s="37">
        <f>B12-C12-D12-E12</f>
        <v/>
      </c>
      <c r="G12" s="38">
        <f>G11+F12</f>
        <v/>
      </c>
    </row>
    <row r="13">
      <c r="A13" s="7" t="inlineStr">
        <is>
          <t>August</t>
        </is>
      </c>
      <c r="B13" s="36">
        <f>IF(Eingaben!$B$23="Ja",'Steuerrücklage'!B12,'Steuerrücklage'!B12*(1+Eingaben!$B$22))</f>
        <v/>
      </c>
      <c r="C13" s="36">
        <f>'Steuerrücklage'!C12</f>
        <v/>
      </c>
      <c r="D13" s="36">
        <f>Eingaben!$B$8</f>
        <v/>
      </c>
      <c r="E13" s="36">
        <f>'Steuerrücklage'!G12</f>
        <v/>
      </c>
      <c r="F13" s="37">
        <f>B13-C13-D13-E13</f>
        <v/>
      </c>
      <c r="G13" s="38">
        <f>G12+F13</f>
        <v/>
      </c>
    </row>
    <row r="14">
      <c r="A14" s="7" t="inlineStr">
        <is>
          <t>September</t>
        </is>
      </c>
      <c r="B14" s="36">
        <f>IF(Eingaben!$B$23="Ja",'Steuerrücklage'!B13,'Steuerrücklage'!B13*(1+Eingaben!$B$22))</f>
        <v/>
      </c>
      <c r="C14" s="36">
        <f>'Steuerrücklage'!C13</f>
        <v/>
      </c>
      <c r="D14" s="36">
        <f>Eingaben!$B$8</f>
        <v/>
      </c>
      <c r="E14" s="36">
        <f>'Steuerrücklage'!G13</f>
        <v/>
      </c>
      <c r="F14" s="37">
        <f>B14-C14-D14-E14</f>
        <v/>
      </c>
      <c r="G14" s="38">
        <f>G13+F14</f>
        <v/>
      </c>
    </row>
    <row r="15">
      <c r="A15" s="7" t="inlineStr">
        <is>
          <t>Oktober</t>
        </is>
      </c>
      <c r="B15" s="36">
        <f>IF(Eingaben!$B$23="Ja",'Steuerrücklage'!B14,'Steuerrücklage'!B14*(1+Eingaben!$B$22))</f>
        <v/>
      </c>
      <c r="C15" s="36">
        <f>'Steuerrücklage'!C14</f>
        <v/>
      </c>
      <c r="D15" s="36">
        <f>Eingaben!$B$8</f>
        <v/>
      </c>
      <c r="E15" s="36">
        <f>'Steuerrücklage'!G14</f>
        <v/>
      </c>
      <c r="F15" s="37">
        <f>B15-C15-D15-E15</f>
        <v/>
      </c>
      <c r="G15" s="38">
        <f>G14+F15</f>
        <v/>
      </c>
    </row>
    <row r="16">
      <c r="A16" s="7" t="inlineStr">
        <is>
          <t>November</t>
        </is>
      </c>
      <c r="B16" s="36">
        <f>IF(Eingaben!$B$23="Ja",'Steuerrücklage'!B15,'Steuerrücklage'!B15*(1+Eingaben!$B$22))</f>
        <v/>
      </c>
      <c r="C16" s="36">
        <f>'Steuerrücklage'!C15</f>
        <v/>
      </c>
      <c r="D16" s="36">
        <f>Eingaben!$B$8</f>
        <v/>
      </c>
      <c r="E16" s="36">
        <f>'Steuerrücklage'!G15</f>
        <v/>
      </c>
      <c r="F16" s="37">
        <f>B16-C16-D16-E16</f>
        <v/>
      </c>
      <c r="G16" s="38">
        <f>G15+F16</f>
        <v/>
      </c>
    </row>
    <row r="17">
      <c r="A17" s="7" t="inlineStr">
        <is>
          <t>Dezember</t>
        </is>
      </c>
      <c r="B17" s="36">
        <f>IF(Eingaben!$B$23="Ja",'Steuerrücklage'!B16,'Steuerrücklage'!B16*(1+Eingaben!$B$22))</f>
        <v/>
      </c>
      <c r="C17" s="36">
        <f>'Steuerrücklage'!C16</f>
        <v/>
      </c>
      <c r="D17" s="36">
        <f>Eingaben!$B$8</f>
        <v/>
      </c>
      <c r="E17" s="36">
        <f>'Steuerrücklage'!G16</f>
        <v/>
      </c>
      <c r="F17" s="37">
        <f>B17-C17-D17-E17</f>
        <v/>
      </c>
      <c r="G17" s="38">
        <f>G16+F17</f>
        <v/>
      </c>
    </row>
    <row r="19">
      <c r="A19" s="16" t="inlineStr">
        <is>
          <t>Rot heißt: Das Konto ist rechnerisch leer. Einnahmen und Betriebsausgaben kommen vom Blatt «Steuerrücklage», die Privatentnahme von «Eingaben». Die Einnahmen sind hier brutto, weil die Umsatzsteuer erst tatsächlich auf dem Konto liegt, bevor sie ans Finanzamt geht.</t>
        </is>
      </c>
    </row>
    <row r="20"/>
    <row r="21"/>
  </sheetData>
  <mergeCells count="1">
    <mergeCell ref="A19:G21"/>
  </mergeCells>
  <conditionalFormatting sqref="G6:G17">
    <cfRule type="cellIs" priority="1" operator="lessThan" dxfId="2">
      <formula>0</formula>
    </cfRule>
  </conditionalFormatting>
  <pageMargins left="0.75" right="0.75" top="1" bottom="1" header="0.5" footer="0.5"/>
  <pageSetup orientation="portrait" fitToWidth="1"/>
</worksheet>
</file>

<file path=xl/worksheets/sheet6.xml><?xml version="1.0" encoding="utf-8"?>
<worksheet xmlns="http://schemas.openxmlformats.org/spreadsheetml/2006/main">
  <sheetPr>
    <outlinePr summaryBelow="1" summaryRight="1"/>
    <pageSetUpPr fitToPage="1"/>
  </sheetPr>
  <dimension ref="A1:A2"/>
  <sheetViews>
    <sheetView showGridLines="0" workbookViewId="0">
      <selection activeCell="A1" sqref="A1"/>
    </sheetView>
  </sheetViews>
  <sheetFormatPr baseColWidth="8" defaultRowHeight="15"/>
  <cols>
    <col width="4" customWidth="1" min="1" max="1"/>
  </cols>
  <sheetData>
    <row r="1" ht="26" customHeight="1">
      <c r="A1" s="1" t="inlineStr">
        <is>
          <t>Auswertung</t>
        </is>
      </c>
    </row>
    <row r="2">
      <c r="A2" s="2" t="inlineStr">
        <is>
          <t>Aktualisiert sich mit deinen Eingaben.</t>
        </is>
      </c>
    </row>
  </sheetData>
  <pageMargins left="0.75" right="0.75" top="1" bottom="1" header="0.5" footer="0.5"/>
  <pageSetup orientation="portrait"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A20"/>
  <sheetViews>
    <sheetView showGridLines="0" workbookViewId="0">
      <selection activeCell="A1" sqref="A1"/>
    </sheetView>
  </sheetViews>
  <sheetFormatPr baseColWidth="8" defaultRowHeight="15"/>
  <cols>
    <col width="100" customWidth="1" min="1" max="1"/>
  </cols>
  <sheetData>
    <row r="1" ht="26" customHeight="1">
      <c r="A1" s="1" t="inlineStr">
        <is>
          <t>Hinweise</t>
        </is>
      </c>
    </row>
    <row r="2">
      <c r="A2" s="2" t="inlineStr">
        <is>
          <t>Bitte einmal lesen.</t>
        </is>
      </c>
    </row>
    <row r="4">
      <c r="A4" s="41" t="inlineStr">
        <is>
          <t>Keine Steuerberatung</t>
        </is>
      </c>
    </row>
    <row r="5" ht="56" customHeight="1">
      <c r="A5" s="6" t="inlineStr">
        <is>
          <t>Diese Arbeitsmappe ist ein Kalkulations- und Planungswerkzeug. Sie ersetzt keine Steuerberatung und stellt keine Rechtsberatung dar. Sie rechnet mit einem pauschalen Steuersatz und bildet weder deine persönliche Einkommensteuerprogression noch Gewerbesteuer, Vorsorgeaufwendungen, Freibeträge oder Sonderfälle exakt ab. Verbindliche Zahlen bekommst du von deinem Steuerberater.</t>
        </is>
      </c>
    </row>
    <row r="7">
      <c r="A7" s="41" t="inlineStr">
        <is>
          <t>Vereinfachungen</t>
        </is>
      </c>
    </row>
    <row r="8" ht="42" customHeight="1">
      <c r="A8" s="6" t="inlineStr">
        <is>
          <t>Die Umsatzsteuer-Rücklage rechnet ohne Vorsteuerabzug — die tatsächlich abzuführende Umsatzsteuer ist daher meist etwas niedriger als hier angezeigt. Das ist bewusst so: Lieber zu viel zurückgelegt als zu wenig.</t>
        </is>
      </c>
    </row>
    <row r="10">
      <c r="A10" s="41" t="inlineStr">
        <is>
          <t>Kein steuerlicher Nachweis</t>
        </is>
      </c>
    </row>
    <row r="11" ht="56" customHeight="1">
      <c r="A11" s="6" t="inlineStr">
        <is>
          <t>Diese Datei ist ausdrücklich kein Kassenbuch, kein Fahrtenbuch und keine Buchführung im Sinne der GoBD. Eine Tabellenkalkulation erfüllt die Anforderung der Unveränderbarkeit nicht und wird als Aufzeichnungsnachweis vom Finanzamt in der Regel nicht anerkannt. Nutze sie zum Planen, nicht zum Nachweisen.</t>
        </is>
      </c>
    </row>
    <row r="13">
      <c r="A13" s="41" t="inlineStr">
        <is>
          <t>Für wen sie gedacht ist</t>
        </is>
      </c>
    </row>
    <row r="14" ht="42" customHeight="1">
      <c r="A14" s="6" t="inlineStr">
        <is>
          <t>Für Einzelunternehmer, Freiberufler und Solo-Selbstständige ohne Angestellte. Betriebe mit Mitarbeitern brauchen eine andere Kalkulation, weil dort Lohnkosten, Lohnnebenkosten und Gemeinkostenzuschläge hinzukommen.</t>
        </is>
      </c>
    </row>
    <row r="16">
      <c r="A16" s="41" t="inlineStr">
        <is>
          <t>Nutzungsbedingungen</t>
        </is>
      </c>
    </row>
    <row r="17" ht="28" customHeight="1">
      <c r="A17" s="6" t="inlineStr">
        <is>
          <t>Für die eigene betriebliche und private Nutzung. Weitergabe, Weiterverkauf und Veröffentlichung der Datei sind nicht gestattet.</t>
        </is>
      </c>
    </row>
    <row r="19">
      <c r="A19" s="41" t="inlineStr">
        <is>
          <t>Haftung</t>
        </is>
      </c>
    </row>
    <row r="20" ht="28" customHeight="1">
      <c r="A20" s="6" t="inlineStr">
        <is>
          <t>Die Nutzung erfolgt auf eigene Verantwortung. Für Entscheidungen, die auf Grundlage der Ergebnisse getroffen werden, wird keine Haftung übernommen.</t>
        </is>
      </c>
    </row>
  </sheetData>
  <pageMargins left="0.75" right="0.75" top="1" bottom="1" header="0.5" footer="0.5"/>
  <pageSetup orientation="portrait"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2026-08-14T22:09:31Z</dcterms:created>
  <dcterms:modified xsi:type="dcterms:W3CDTF">2026-08-14T22:09:31Z</dcterms:modified>
</cp:coreProperties>
</file>